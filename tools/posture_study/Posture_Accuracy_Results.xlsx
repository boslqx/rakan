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  <sheet name="Issues &amp; Next Steps" sheetId="3" state="visible" r:id="rId5"/>
  </sheets>
  <definedNames>
    <definedName function="false" hidden="true" localSheetId="1" name="_xlnm._FilterDatabase" vbProcedure="false">'Raw Data'!$A$1:$Q$301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Squat: deepest knee angle. Push-up: deepest elbow angle.</t>
        </r>
      </text>
    </comment>
    <comment ref="F1" authorId="0">
      <text>
        <r>
          <rPr>
            <sz val="10"/>
            <rFont val="Arial"/>
            <family val="2"/>
          </rPr>
          <t xml:space="preserve">Squat: worst trunk lean from vertical. Push-up: lowest shoulder-hip-ankle line.</t>
        </r>
      </text>
    </comment>
    <comment ref="G1" authorId="0">
      <text>
        <r>
          <rPr>
            <sz val="10"/>
            <rFont val="Arial"/>
            <family val="2"/>
          </rPr>
          <t xml:space="preserve">Verdict exactly as stored in the CSV. Orange = differs from the code rule.</t>
        </r>
      </text>
    </comment>
    <comment ref="H1" authorId="0">
      <text>
        <r>
          <rPr>
            <sz val="10"/>
            <rFont val="Arial"/>
            <family val="2"/>
          </rPr>
          <t xml:space="preserve">Verdict recomputed from the logged angles with the Phase 29 thresholds on the Summary sheet. Matches the logged verdict on 296/300 reps; used for all metrics.</t>
        </r>
      </text>
    </comment>
    <comment ref="I1" authorId="0">
      <text>
        <r>
          <rPr>
            <sz val="10"/>
            <rFont val="Arial"/>
            <family val="2"/>
          </rPr>
          <t xml:space="preserve">What the tester actually did (label typed in capture.py, after any flips). Edit here and every metric updates.</t>
        </r>
      </text>
    </comment>
  </commentList>
</comments>
</file>

<file path=xl/sharedStrings.xml><?xml version="1.0" encoding="utf-8"?>
<sst xmlns="http://schemas.openxmlformats.org/spreadsheetml/2006/main" count="1969" uniqueCount="142">
  <si>
    <t xml:space="preserve">Posture Detection Accuracy: Final Round</t>
  </si>
  <si>
    <t xml:space="preserve">5 testers × 3 sets × 10 reps per exercise · Phase 29 analyser · collected 13–14 Oct 2026 with capture.py</t>
  </si>
  <si>
    <t xml:space="preserve">Settings</t>
  </si>
  <si>
    <t xml:space="preserve">Target accuracy</t>
  </si>
  <si>
    <t xml:space="preserve">Objective 2 (revised from 90% in the proposal)</t>
  </si>
  <si>
    <t xml:space="preserve">z for 95% CI</t>
  </si>
  <si>
    <t xml:space="preserve">Wilson score interval</t>
  </si>
  <si>
    <t xml:space="preserve">Squat depth: correct if knee ≤</t>
  </si>
  <si>
    <t xml:space="preserve">FormThresholds.squatDepthMax</t>
  </si>
  <si>
    <t xml:space="preserve">Squat trunk lean: correct if ≤</t>
  </si>
  <si>
    <t xml:space="preserve">FormThresholds.squatTrunkLeanMax</t>
  </si>
  <si>
    <t xml:space="preserve">Push-up depth: correct if elbow ≤</t>
  </si>
  <si>
    <t xml:space="preserve">FormThresholds (push-up correct depth)</t>
  </si>
  <si>
    <t xml:space="preserve">Push-up body line: correct if ≥</t>
  </si>
  <si>
    <t xml:space="preserve">FormThresholds (body line)</t>
  </si>
  <si>
    <t xml:space="preserve">Main result (verdict by code rule vs. ground truth)</t>
  </si>
  <si>
    <t xml:space="preserve">Exercise</t>
  </si>
  <si>
    <t xml:space="preserve">Testers</t>
  </si>
  <si>
    <t xml:space="preserve">Reps</t>
  </si>
  <si>
    <t xml:space="preserve">TP</t>
  </si>
  <si>
    <t xml:space="preserve">TN</t>
  </si>
  <si>
    <t xml:space="preserve">FP</t>
  </si>
  <si>
    <t xml:space="preserve">FN</t>
  </si>
  <si>
    <t xml:space="preserve">Accuracy</t>
  </si>
  <si>
    <t xml:space="preserve">95% CI low</t>
  </si>
  <si>
    <t xml:space="preserve">95% CI high</t>
  </si>
  <si>
    <t xml:space="preserve">Precision</t>
  </si>
  <si>
    <t xml:space="preserve">Recall</t>
  </si>
  <si>
    <t xml:space="preserve">Specificity</t>
  </si>
  <si>
    <t xml:space="preserve">F1</t>
  </si>
  <si>
    <t xml:space="preserve">Meets target?</t>
  </si>
  <si>
    <t xml:space="preserve">Push-up</t>
  </si>
  <si>
    <t xml:space="preserve">Squat</t>
  </si>
  <si>
    <t xml:space="preserve">OVERALL</t>
  </si>
  <si>
    <t xml:space="preserve">Positive class = INCORRECT form. Recall = share of bad reps the app caught. Specificity = share of good reps it correctly passed.</t>
  </si>
  <si>
    <t xml:space="preserve">Sensitivity check: how much do the data issues move the result?</t>
  </si>
  <si>
    <t xml:space="preserve">Scenario</t>
  </si>
  <si>
    <t xml:space="preserve">Overall</t>
  </si>
  <si>
    <t xml:space="preserve">What it means</t>
  </si>
  <si>
    <t xml:space="preserve">Main result (code-rule verdict)</t>
  </si>
  <si>
    <t xml:space="preserve">Uses the verdict the code produces from the logged angles.</t>
  </si>
  <si>
    <t xml:space="preserve">Verdicts exactly as logged</t>
  </si>
  <si>
    <t xml:space="preserve">Includes the 4 squat verdicts that were changed in Excel.</t>
  </si>
  <si>
    <t xml:space="preserve">Ignoring every observer flip</t>
  </si>
  <si>
    <t xml:space="preserve">Uses the label set before each rep. All 5 net flips moved the label towards the app's verdict.</t>
  </si>
  <si>
    <t xml:space="preserve">Confusion matrix: Push-up</t>
  </si>
  <si>
    <t xml:space="preserve">Predicted Correct</t>
  </si>
  <si>
    <t xml:space="preserve">Predicted Incorrect</t>
  </si>
  <si>
    <t xml:space="preserve">Total</t>
  </si>
  <si>
    <t xml:space="preserve">Actual Correct</t>
  </si>
  <si>
    <t xml:space="preserve">Actual Incorrect</t>
  </si>
  <si>
    <t xml:space="preserve">Confusion matrix: Squat</t>
  </si>
  <si>
    <t xml:space="preserve">Accuracy by tester</t>
  </si>
  <si>
    <t xml:space="preserve">Tester</t>
  </si>
  <si>
    <t xml:space="preserve">Matches</t>
  </si>
  <si>
    <t xml:space="preserve">Correct-form reps</t>
  </si>
  <si>
    <t xml:space="preserve">Incorrect-form reps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</si>
  <si>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</si>
  <si>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</si>
  <si>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</si>
  <si>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</si>
  <si>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</si>
  <si>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Set</t>
  </si>
  <si>
    <t xml:space="preserve">Rep</t>
  </si>
  <si>
    <t xml:space="preserve">Primary angle (°)</t>
  </si>
  <si>
    <t xml:space="preserve">Secondary (°)</t>
  </si>
  <si>
    <t xml:space="preserve">Logged verdict</t>
  </si>
  <si>
    <t xml:space="preserve">Verdict by code rule</t>
  </si>
  <si>
    <t xml:space="preserve">Ground truth</t>
  </si>
  <si>
    <t xml:space="preserve">Observer flipped?</t>
  </si>
  <si>
    <t xml:space="preserve">Label before flip</t>
  </si>
  <si>
    <t xml:space="preserve">Outcome</t>
  </si>
  <si>
    <t xml:space="preserve">Match</t>
  </si>
  <si>
    <t xml:space="preserve">Match (as logged)</t>
  </si>
  <si>
    <t xml:space="preserve">Match (no flips)</t>
  </si>
  <si>
    <t xml:space="preserve">Notes</t>
  </si>
  <si>
    <t xml:space="preserve">Source file</t>
  </si>
  <si>
    <t xml:space="preserve">Incorrect</t>
  </si>
  <si>
    <t xml:space="preserve">No</t>
  </si>
  <si>
    <t xml:space="preserve">posture_T01_20261013_164651.csv</t>
  </si>
  <si>
    <t xml:space="preserve">Correct</t>
  </si>
  <si>
    <t xml:space="preserve">posture_T02_20261014_143638.csv</t>
  </si>
  <si>
    <t xml:space="preserve">posture_T03_20261014_144854.csv</t>
  </si>
  <si>
    <t xml:space="preserve">posture_T04_20261014_145322.csv</t>
  </si>
  <si>
    <t xml:space="preserve">posture_T05_20261014_144540.csv</t>
  </si>
  <si>
    <t xml:space="preserve">posture_T01_20261013_165543.csv</t>
  </si>
  <si>
    <t xml:space="preserve">Yes</t>
  </si>
  <si>
    <t xml:space="preserve">Observer flipped the label</t>
  </si>
  <si>
    <t xml:space="preserve">In a "wrong" set but tester went below parallel; label may be wrong</t>
  </si>
  <si>
    <t xml:space="preserve">Pose-tracking glitch: trunk lean / knee angle implausible</t>
  </si>
  <si>
    <t xml:space="preserve">posture_T02_20261013_165037.csv</t>
  </si>
  <si>
    <t xml:space="preserve">Logged verdict TRUE contradicts the code rule (angle &gt; 80°). File was re-saved in Excel. Rule verdict used.</t>
  </si>
  <si>
    <t xml:space="preserve">Flipped twice (net no change)</t>
  </si>
  <si>
    <t xml:space="preserve">posture_T03_20261013_170521.csv</t>
  </si>
  <si>
    <t xml:space="preserve">Pose-tracking glitch: trunk lean / knee angle implausible; Pose-tracking glitch: knee angle implausible; Observer flipped the label</t>
  </si>
  <si>
    <t xml:space="preserve">posture_T04_20261013_170849.csv</t>
  </si>
  <si>
    <t xml:space="preserve">posture_T05_20261014_144303.csv</t>
  </si>
  <si>
    <t xml:space="preserve">Issues found in the data, and what to do</t>
  </si>
  <si>
    <t xml:space="preserve">Priority</t>
  </si>
  <si>
    <t xml:space="preserve">Issue</t>
  </si>
  <si>
    <t xml:space="preserve">Detail</t>
  </si>
  <si>
    <t xml:space="preserve">Action</t>
  </si>
  <si>
    <t xml:space="preserve">HIGH</t>
  </si>
  <si>
    <t xml:space="preserve">4 squat verdicts edited (T02, set 2)</t>
  </si>
  <si>
    <t xml:space="preserve">Reps 1, 2, 4, 7 have knee angles 81–84° (over the 80° limit) but are stored as "TRUE". The code cannot output TRUE for those, and the file shows signs of being re-saved in Excel (TRUE/FALSE in capitals, "94" instead of "94.0").</t>
  </si>
  <si>
    <t xml:space="preserve">Confirm what happened. Main result uses the code-rule verdict. Never open the CSVs in Excel and save; open a copy.</t>
  </si>
  <si>
    <t xml:space="preserve">Observer flips all moved towards the app</t>
  </si>
  <si>
    <t xml:space="preserve">5 net flips (T01 squat s2 r3; T03 squat s1 r1–3; T03 squat s2 r9). Each one made the label agree with the app. Fine if based on what you SAW the tester do; not fine if based on the app's verdict.</t>
  </si>
  <si>
    <t xml:space="preserve">Confirm each flip was based on observation. If unsure, report the "ignoring flips" figure too (sensitivity table).</t>
  </si>
  <si>
    <t xml:space="preserve">MEDIUM</t>
  </si>
  <si>
    <t xml:space="preserve">Unbalanced testers</t>
  </si>
  <si>
    <t xml:space="preserve">T01 push-up: all 30 reps wrong. T03 push-up: all 30 correct. T04 squat: all 30 wrong. Classes are balanced overall (push-up 70/80, squat 77/73), but per-tester accuracy is not comparable.</t>
  </si>
  <si>
    <t xml:space="preserve">State it in the methodology. No re-test needed.</t>
  </si>
  <si>
    <t xml:space="preserve">Fault types not recorded</t>
  </si>
  <si>
    <t xml:space="preserve">Every "wrong" set was entered as plain "i" without a fault name, so you can't report accuracy per fault (shallow vs sag vs lean).</t>
  </si>
  <si>
    <t xml:space="preserve">Write down from memory which fault each wrong set was, if you can; otherwise state it as a limitation.</t>
  </si>
  <si>
    <t xml:space="preserve">Possible mislabels in "wrong" squat sets</t>
  </si>
  <si>
    <t xml:space="preserve">T01 s3 r7 (70°), T02 s3 r1, r2, r6 (64°, 64°, 41°): these went below parallel in a "shallow" set. The app said correct, so they count as misses, but the tester probably did a good rep.</t>
  </si>
  <si>
    <t xml:space="preserve">Keep as-is (no video to prove it). Mention as a source of error.</t>
  </si>
  <si>
    <t xml:space="preserve">LOW</t>
  </si>
  <si>
    <t xml:space="preserve">2 pose-tracking glitches</t>
  </si>
  <si>
    <t xml:space="preserve">T02 squat s1 r1 (trunk 178.5°) and T03 squat s1 r2 (knee 15.8°, trunk 172.4°) are physically impossible readings: MediaPipe lost the body for a frame.</t>
  </si>
  <si>
    <t xml:space="preserve">Keep in the data; mention as a real-world failure mode.</t>
  </si>
  <si>
    <t xml:space="preserve">Exaggerated faults</t>
  </si>
  <si>
    <t xml:space="preserve">Wrong reps were clearly wrong (squats stopped at 95–110°, push-up body line 55–145°), so classes are well separated. Push-up 100% reflects this.</t>
  </si>
  <si>
    <t xml:space="preserve">State it: borderline/subtle faults were not tested, so real-world accuracy may be lower.</t>
  </si>
  <si>
    <t xml:space="preserve">NEXT</t>
  </si>
  <si>
    <t xml:space="preserve">Deadlift</t>
  </si>
  <si>
    <t xml:space="preserve">Still no data. The deadlift analyser has no fault check (no spine landmarks).</t>
  </si>
  <si>
    <t xml:space="preserve">Report as a limitation, or run a correct-only round to show rep counting works.</t>
  </si>
  <si>
    <t xml:space="preserve">Write-up</t>
  </si>
  <si>
    <t xml:space="preserve">Results are ready for the Evaluation chapter.</t>
  </si>
  <si>
    <t xml:space="preserve">Use the Summary tables; cite the pilot round as the first iteration.</t>
  </si>
  <si>
    <t xml:space="preserve">Legend</t>
  </si>
  <si>
    <t xml:space="preserve">Blue text</t>
  </si>
  <si>
    <t xml:space="preserve">Typed-in values (from the CSVs or settings)</t>
  </si>
  <si>
    <t xml:space="preserve">Yellow fill</t>
  </si>
  <si>
    <t xml:space="preserve">Editable: ground-truth labels and the target</t>
  </si>
  <si>
    <t xml:space="preserve">Black text</t>
  </si>
  <si>
    <t xml:space="preserve">Formulas: do not overwrite</t>
  </si>
  <si>
    <t xml:space="preserve">Orange cell</t>
  </si>
  <si>
    <t xml:space="preserve">Logged verdict differs from the code rule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</si>
</sst>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"/>
    <numFmt numFmtId="167" formatCode="0\°"/>
    <numFmt numFmtId="168" formatCode="General"/>
    <numFmt numFmtId="169" formatCode="0.0%"/>
    <numFmt numFmtId="170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4B556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B5563"/>
      <name val="Arial"/>
      <family val="0"/>
      <charset val="1"/>
    </font>
    <font>
      <sz val="9"/>
      <name val="Arial"/>
      <family val="0"/>
      <charset val="1"/>
    </font>
    <font>
      <sz val="11"/>
      <name val="Arial"/>
      <family val="0"/>
      <charset val="1"/>
    </font>
    <font>
      <sz val="11"/>
      <color rgb="FFB45309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EDD5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FDE2E1"/>
        <bgColor rgb="FFFFEDD5"/>
      </patternFill>
    </fill>
    <fill>
      <patternFill patternType="solid">
        <fgColor rgb="FFFEF9C3"/>
        <bgColor rgb="FFFFF2CC"/>
      </patternFill>
    </fill>
    <fill>
      <patternFill patternType="solid">
        <fgColor rgb="FFDBEAFE"/>
        <bgColor rgb="FFF3F4F6"/>
      </patternFill>
    </fill>
    <fill>
      <patternFill patternType="solid">
        <fgColor rgb="FFFFEDD5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D1FAE5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>
          <bgColor rgb="FFFDE2E1"/>
        </patternFill>
      </fill>
    </dxf>
    <dxf>
      <fill>
        <patternFill>
          <bgColor rgb="FFFFED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DD5"/>
      <rgbColor rgb="FF808080"/>
      <rgbColor rgb="FF9999FF"/>
      <rgbColor rgb="FF993366"/>
      <rgbColor rgb="FFFEF9C3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2CC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12" min="8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2" t="s">
        <v>3</v>
      </c>
      <c r="B5" s="5" t="n">
        <v>0.75</v>
      </c>
      <c r="C5" s="6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2" t="s">
        <v>5</v>
      </c>
      <c r="B6" s="7" t="n">
        <v>1.96</v>
      </c>
      <c r="C6" s="6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2" t="s">
        <v>7</v>
      </c>
      <c r="B7" s="8" t="n">
        <v>80</v>
      </c>
      <c r="C7" s="6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2" t="s">
        <v>9</v>
      </c>
      <c r="B8" s="8" t="n">
        <v>57</v>
      </c>
      <c r="C8" s="6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2" t="s">
        <v>11</v>
      </c>
      <c r="B9" s="8" t="n">
        <v>100</v>
      </c>
      <c r="C9" s="6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2" t="s">
        <v>13</v>
      </c>
      <c r="B10" s="8" t="n">
        <v>160</v>
      </c>
      <c r="C10" s="6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4" t="s">
        <v>15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30" hidden="false" customHeight="true" outlineLevel="0" collapsed="false">
      <c r="A13" s="9" t="s">
        <v>16</v>
      </c>
      <c r="B13" s="9" t="s">
        <v>17</v>
      </c>
      <c r="C13" s="9" t="s">
        <v>18</v>
      </c>
      <c r="D13" s="9" t="s">
        <v>19</v>
      </c>
      <c r="E13" s="9" t="s">
        <v>20</v>
      </c>
      <c r="F13" s="9" t="s">
        <v>21</v>
      </c>
      <c r="G13" s="9" t="s">
        <v>22</v>
      </c>
      <c r="H13" s="9" t="s">
        <v>23</v>
      </c>
      <c r="I13" s="9" t="s">
        <v>24</v>
      </c>
      <c r="J13" s="9" t="s">
        <v>25</v>
      </c>
      <c r="K13" s="9" t="s">
        <v>26</v>
      </c>
      <c r="L13" s="9" t="s">
        <v>27</v>
      </c>
      <c r="M13" s="9" t="s">
        <v>28</v>
      </c>
      <c r="N13" s="9" t="s">
        <v>29</v>
      </c>
      <c r="O13" s="9" t="s">
        <v>30</v>
      </c>
    </row>
    <row r="14" customFormat="false" ht="15" hidden="false" customHeight="false" outlineLevel="0" collapsed="false">
      <c r="A14" s="10" t="s">
        <v>31</v>
      </c>
      <c r="B14" s="11" t="n">
        <v>5</v>
      </c>
      <c r="C14" s="12" t="n">
        <f aca="false">SUM(D14:G14)</f>
        <v>150</v>
      </c>
      <c r="D14" s="12" t="n">
        <f aca="false">COUNTIFS('Raw Data'!$L$2:$L$301,"TP",'Raw Data'!$B$2:$B$301,$A14)</f>
        <v>80</v>
      </c>
      <c r="E14" s="12" t="n">
        <f aca="false">COUNTIFS('Raw Data'!$L$2:$L$301,"TN",'Raw Data'!$B$2:$B$301,$A14)</f>
        <v>70</v>
      </c>
      <c r="F14" s="12" t="n">
        <f aca="false">COUNTIFS('Raw Data'!$L$2:$L$301,"FP",'Raw Data'!$B$2:$B$301,$A14)</f>
        <v>0</v>
      </c>
      <c r="G14" s="12" t="n">
        <f aca="false">COUNTIFS('Raw Data'!$L$2:$L$301,"FN",'Raw Data'!$B$2:$B$301,$A14)</f>
        <v>0</v>
      </c>
      <c r="H14" s="13" t="n">
        <f aca="false">IF(C14=0,"",(D14+E14)/C14)</f>
        <v>1</v>
      </c>
      <c r="I14" s="13" t="n">
        <f aca="false">IF(C14=0,"",(H14+$B$6^2/(2*C14)-$B$6*SQRT(H14*(1-H14)/C14+$B$6^2/(4*C14^2)))/(1+$B$6^2/C14))</f>
        <v>0.975028860854281</v>
      </c>
      <c r="J14" s="13" t="n">
        <f aca="false">IF(C14=0,"",(H14+$B$6^2/(2*C14)+$B$6*SQRT(H14*(1-H14)/C14+$B$6^2/(4*C14^2)))/(1+$B$6^2/C14))</f>
        <v>1</v>
      </c>
      <c r="K14" s="13" t="n">
        <f aca="false">IF(D14+F14=0,"",D14/(D14+F14))</f>
        <v>1</v>
      </c>
      <c r="L14" s="13" t="n">
        <f aca="false">IF(D14+G14=0,"",D14/(D14+G14))</f>
        <v>1</v>
      </c>
      <c r="M14" s="13" t="n">
        <f aca="false">IF(E14+F14=0,"",E14/(E14+F14))</f>
        <v>1</v>
      </c>
      <c r="N14" s="14" t="n">
        <f aca="false">IF(OR(K14="",L14=""),"",IF(K14+L14=0,0,2*K14*L14/(K14+L14)))</f>
        <v>1</v>
      </c>
      <c r="O14" s="15" t="str">
        <f aca="false">IF(H14="","",IF(H14&gt;=$B$5,"Yes","No"))</f>
        <v>Yes</v>
      </c>
    </row>
    <row r="15" customFormat="false" ht="15" hidden="false" customHeight="false" outlineLevel="0" collapsed="false">
      <c r="A15" s="10" t="s">
        <v>32</v>
      </c>
      <c r="B15" s="11" t="n">
        <v>5</v>
      </c>
      <c r="C15" s="12" t="n">
        <f aca="false">SUM(D15:G15)</f>
        <v>150</v>
      </c>
      <c r="D15" s="12" t="n">
        <f aca="false">COUNTIFS('Raw Data'!$L$2:$L$301,"TP",'Raw Data'!$B$2:$B$301,$A15)</f>
        <v>69</v>
      </c>
      <c r="E15" s="12" t="n">
        <f aca="false">COUNTIFS('Raw Data'!$L$2:$L$301,"TN",'Raw Data'!$B$2:$B$301,$A15)</f>
        <v>68</v>
      </c>
      <c r="F15" s="12" t="n">
        <f aca="false">COUNTIFS('Raw Data'!$L$2:$L$301,"FP",'Raw Data'!$B$2:$B$301,$A15)</f>
        <v>9</v>
      </c>
      <c r="G15" s="12" t="n">
        <f aca="false">COUNTIFS('Raw Data'!$L$2:$L$301,"FN",'Raw Data'!$B$2:$B$301,$A15)</f>
        <v>4</v>
      </c>
      <c r="H15" s="13" t="n">
        <f aca="false">IF(C15=0,"",(D15+E15)/C15)</f>
        <v>0.913333333333333</v>
      </c>
      <c r="I15" s="13" t="n">
        <f aca="false">IF(C15=0,"",(H15+$B$6^2/(2*C15)-$B$6*SQRT(H15*(1-H15)/C15+$B$6^2/(4*C15^2)))/(1+$B$6^2/C15))</f>
        <v>0.857370546875765</v>
      </c>
      <c r="J15" s="13" t="n">
        <f aca="false">IF(C15=0,"",(H15+$B$6^2/(2*C15)+$B$6*SQRT(H15*(1-H15)/C15+$B$6^2/(4*C15^2)))/(1+$B$6^2/C15))</f>
        <v>0.948653311430441</v>
      </c>
      <c r="K15" s="13" t="n">
        <f aca="false">IF(D15+F15=0,"",D15/(D15+F15))</f>
        <v>0.884615384615385</v>
      </c>
      <c r="L15" s="13" t="n">
        <f aca="false">IF(D15+G15=0,"",D15/(D15+G15))</f>
        <v>0.945205479452055</v>
      </c>
      <c r="M15" s="13" t="n">
        <f aca="false">IF(E15+F15=0,"",E15/(E15+F15))</f>
        <v>0.883116883116883</v>
      </c>
      <c r="N15" s="14" t="n">
        <f aca="false">IF(OR(K15="",L15=""),"",IF(K15+L15=0,0,2*K15*L15/(K15+L15)))</f>
        <v>0.913907284768212</v>
      </c>
      <c r="O15" s="15" t="str">
        <f aca="false">IF(H15="","",IF(H15&gt;=$B$5,"Yes","No"))</f>
        <v>Yes</v>
      </c>
    </row>
    <row r="16" customFormat="false" ht="15" hidden="false" customHeight="false" outlineLevel="0" collapsed="false">
      <c r="A16" s="16" t="s">
        <v>33</v>
      </c>
      <c r="B16" s="17" t="n">
        <v>5</v>
      </c>
      <c r="C16" s="18" t="n">
        <f aca="false">SUM(D16:G16)</f>
        <v>300</v>
      </c>
      <c r="D16" s="18" t="n">
        <f aca="false">COUNTIFS('Raw Data'!$L$2:$L$301,"TP")</f>
        <v>149</v>
      </c>
      <c r="E16" s="18" t="n">
        <f aca="false">COUNTIFS('Raw Data'!$L$2:$L$301,"TN")</f>
        <v>138</v>
      </c>
      <c r="F16" s="18" t="n">
        <f aca="false">COUNTIFS('Raw Data'!$L$2:$L$301,"FP")</f>
        <v>9</v>
      </c>
      <c r="G16" s="18" t="n">
        <f aca="false">COUNTIFS('Raw Data'!$L$2:$L$301,"FN")</f>
        <v>4</v>
      </c>
      <c r="H16" s="19" t="n">
        <f aca="false">IF(C16=0,"",(D16+E16)/C16)</f>
        <v>0.956666666666667</v>
      </c>
      <c r="I16" s="19" t="n">
        <f aca="false">IF(C16=0,"",(H16+$B$6^2/(2*C16)-$B$6*SQRT(H16*(1-H16)/C16+$B$6^2/(4*C16^2)))/(1+$B$6^2/C16))</f>
        <v>0.927281870871939</v>
      </c>
      <c r="J16" s="19" t="n">
        <f aca="false">IF(C16=0,"",(H16+$B$6^2/(2*C16)+$B$6*SQRT(H16*(1-H16)/C16+$B$6^2/(4*C16^2)))/(1+$B$6^2/C16))</f>
        <v>0.974503796396796</v>
      </c>
      <c r="K16" s="19" t="n">
        <f aca="false">IF(D16+F16=0,"",D16/(D16+F16))</f>
        <v>0.943037974683544</v>
      </c>
      <c r="L16" s="19" t="n">
        <f aca="false">IF(D16+G16=0,"",D16/(D16+G16))</f>
        <v>0.973856209150327</v>
      </c>
      <c r="M16" s="19" t="n">
        <f aca="false">IF(E16+F16=0,"",E16/(E16+F16))</f>
        <v>0.938775510204082</v>
      </c>
      <c r="N16" s="20" t="n">
        <f aca="false">IF(OR(K16="",L16=""),"",IF(K16+L16=0,0,2*K16*L16/(K16+L16)))</f>
        <v>0.958199356913183</v>
      </c>
      <c r="O16" s="21" t="str">
        <f aca="false">IF(H16="","",IF(H16&gt;=$B$5,"Yes","No"))</f>
        <v>Yes</v>
      </c>
    </row>
    <row r="17" customFormat="false" ht="15" hidden="false" customHeight="false" outlineLevel="0" collapsed="false">
      <c r="A17" s="22" t="s">
        <v>34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4" t="s">
        <v>35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26.85" hidden="false" customHeight="false" outlineLevel="0" collapsed="false">
      <c r="A20" s="9" t="s">
        <v>36</v>
      </c>
      <c r="B20" s="9" t="s">
        <v>31</v>
      </c>
      <c r="C20" s="9" t="s">
        <v>32</v>
      </c>
      <c r="D20" s="9" t="s">
        <v>37</v>
      </c>
      <c r="E20" s="9" t="s">
        <v>38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10" t="s">
        <v>39</v>
      </c>
      <c r="B21" s="13" t="n">
        <f aca="false">SUMIFS('Raw Data'!$M$2:$M$301,'Raw Data'!$B$2:$B$301,"Push-up")/COUNTIFS('Raw Data'!$B$2:$B$301,"Push-up")</f>
        <v>1</v>
      </c>
      <c r="C21" s="13" t="n">
        <f aca="false">SUMIFS('Raw Data'!$M$2:$M$301,'Raw Data'!$B$2:$B$301,"Squat")/COUNTIFS('Raw Data'!$B$2:$B$301,"Squat")</f>
        <v>0.913333333333333</v>
      </c>
      <c r="D21" s="13" t="n">
        <f aca="false">SUM('Raw Data'!$M$2:$M$301)/COUNTA('Raw Data'!$A$2:$A$301)</f>
        <v>0.956666666666667</v>
      </c>
      <c r="E21" s="23" t="s">
        <v>40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24" t="s">
        <v>41</v>
      </c>
      <c r="B22" s="13" t="n">
        <f aca="false">SUMIFS('Raw Data'!$N$2:$N$301,'Raw Data'!$B$2:$B$301,"Push-up")/COUNTIFS('Raw Data'!$B$2:$B$301,"Push-up")</f>
        <v>1</v>
      </c>
      <c r="C22" s="13" t="n">
        <f aca="false">SUMIFS('Raw Data'!$N$2:$N$301,'Raw Data'!$B$2:$B$301,"Squat")/COUNTIFS('Raw Data'!$B$2:$B$301,"Squat")</f>
        <v>0.94</v>
      </c>
      <c r="D22" s="13" t="n">
        <f aca="false">SUM('Raw Data'!$N$2:$N$301)/COUNTA('Raw Data'!$A$2:$A$301)</f>
        <v>0.97</v>
      </c>
      <c r="E22" s="23" t="s">
        <v>42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24" t="s">
        <v>43</v>
      </c>
      <c r="B23" s="13" t="n">
        <f aca="false">SUMIFS('Raw Data'!$O$2:$O$301,'Raw Data'!$B$2:$B$301,"Push-up")/COUNTIFS('Raw Data'!$B$2:$B$301,"Push-up")</f>
        <v>1</v>
      </c>
      <c r="C23" s="13" t="n">
        <f aca="false">SUMIFS('Raw Data'!$O$2:$O$301,'Raw Data'!$B$2:$B$301,"Squat")/COUNTIFS('Raw Data'!$B$2:$B$301,"Squat")</f>
        <v>0.88</v>
      </c>
      <c r="D23" s="13" t="n">
        <f aca="false">SUM('Raw Data'!$O$2:$O$301)/COUNTA('Raw Data'!$A$2:$A$301)</f>
        <v>0.94</v>
      </c>
      <c r="E23" s="23" t="s">
        <v>44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4" t="s">
        <v>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26.85" hidden="false" customHeight="false" outlineLevel="0" collapsed="false">
      <c r="A27" s="9"/>
      <c r="B27" s="9" t="s">
        <v>46</v>
      </c>
      <c r="C27" s="9" t="s">
        <v>47</v>
      </c>
      <c r="D27" s="9" t="s">
        <v>48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10" t="s">
        <v>49</v>
      </c>
      <c r="B28" s="12" t="n">
        <f aca="false">E14</f>
        <v>70</v>
      </c>
      <c r="C28" s="12" t="n">
        <f aca="false">F14</f>
        <v>0</v>
      </c>
      <c r="D28" s="12" t="n">
        <f aca="false">B28+C28</f>
        <v>70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10" t="s">
        <v>50</v>
      </c>
      <c r="B29" s="12" t="n">
        <f aca="false">G14</f>
        <v>0</v>
      </c>
      <c r="C29" s="12" t="n">
        <f aca="false">D14</f>
        <v>80</v>
      </c>
      <c r="D29" s="12" t="n">
        <f aca="false">B29+C29</f>
        <v>80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" hidden="false" customHeight="false" outlineLevel="0" collapsed="false">
      <c r="A31" s="4" t="s">
        <v>51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26.85" hidden="false" customHeight="false" outlineLevel="0" collapsed="false">
      <c r="A32" s="9"/>
      <c r="B32" s="9" t="s">
        <v>46</v>
      </c>
      <c r="C32" s="9" t="s">
        <v>47</v>
      </c>
      <c r="D32" s="9" t="s">
        <v>48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" hidden="false" customHeight="false" outlineLevel="0" collapsed="false">
      <c r="A33" s="10" t="s">
        <v>49</v>
      </c>
      <c r="B33" s="12" t="n">
        <f aca="false">E15</f>
        <v>68</v>
      </c>
      <c r="C33" s="12" t="n">
        <f aca="false">F15</f>
        <v>9</v>
      </c>
      <c r="D33" s="12" t="n">
        <f aca="false">B33+C33</f>
        <v>77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5" hidden="false" customHeight="false" outlineLevel="0" collapsed="false">
      <c r="A34" s="10" t="s">
        <v>50</v>
      </c>
      <c r="B34" s="12" t="n">
        <f aca="false">G15</f>
        <v>4</v>
      </c>
      <c r="C34" s="12" t="n">
        <f aca="false">D15</f>
        <v>69</v>
      </c>
      <c r="D34" s="12" t="n">
        <f aca="false">B34+C34</f>
        <v>73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" hidden="false" customHeight="false" outlineLevel="0" collapsed="false">
      <c r="A36" s="4" t="s">
        <v>52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26.85" hidden="false" customHeight="false" outlineLevel="0" collapsed="false">
      <c r="A37" s="9" t="s">
        <v>16</v>
      </c>
      <c r="B37" s="9" t="s">
        <v>53</v>
      </c>
      <c r="C37" s="9" t="s">
        <v>18</v>
      </c>
      <c r="D37" s="9" t="s">
        <v>54</v>
      </c>
      <c r="E37" s="9" t="s">
        <v>23</v>
      </c>
      <c r="F37" s="9" t="s">
        <v>55</v>
      </c>
      <c r="G37" s="9" t="s">
        <v>56</v>
      </c>
      <c r="H37" s="2"/>
      <c r="I37" s="2"/>
      <c r="J37" s="2"/>
      <c r="K37" s="2"/>
      <c r="L37" s="2"/>
      <c r="M37" s="2"/>
      <c r="N37" s="2"/>
      <c r="O37" s="2"/>
    </row>
    <row r="38" customFormat="false" ht="15" hidden="false" customHeight="false" outlineLevel="0" collapsed="false">
      <c r="A38" s="12" t="s">
        <v>31</v>
      </c>
      <c r="B38" s="12" t="s">
        <v>57</v>
      </c>
      <c r="C38" s="12" t="n">
        <f aca="false">COUNTIFS('Raw Data'!$B$2:$B$301,A38,'Raw Data'!$A$2:$A$301,B38)</f>
        <v>30</v>
      </c>
      <c r="D38" s="12" t="n">
        <f aca="false">SUMIFS('Raw Data'!$M$2:$M$301,'Raw Data'!$B$2:$B$301,A38,'Raw Data'!$A$2:$A$301,B38)</f>
        <v>30</v>
      </c>
      <c r="E38" s="13" t="n">
        <f aca="false">IF(C38=0,"",D38/C38)</f>
        <v>1</v>
      </c>
      <c r="F38" s="12" t="n">
        <f aca="false">COUNTIFS('Raw Data'!$B$2:$B$301,A38,'Raw Data'!$A$2:$A$301,B38,'Raw Data'!$I$2:$I$301,"Correct")</f>
        <v>0</v>
      </c>
      <c r="G38" s="12" t="n">
        <f aca="false">COUNTIFS('Raw Data'!$B$2:$B$301,A38,'Raw Data'!$A$2:$A$301,B38,'Raw Data'!$I$2:$I$301,"Incorrect")</f>
        <v>30</v>
      </c>
      <c r="H38" s="2"/>
      <c r="I38" s="2"/>
      <c r="J38" s="2"/>
      <c r="K38" s="2"/>
      <c r="L38" s="2"/>
      <c r="M38" s="2"/>
      <c r="N38" s="2"/>
      <c r="O38" s="2"/>
    </row>
    <row r="39" customFormat="false" ht="15" hidden="false" customHeight="false" outlineLevel="0" collapsed="false">
      <c r="A39" s="12" t="s">
        <v>31</v>
      </c>
      <c r="B39" s="12" t="s">
        <v>58</v>
      </c>
      <c r="C39" s="12" t="n">
        <f aca="false">COUNTIFS('Raw Data'!$B$2:$B$301,A39,'Raw Data'!$A$2:$A$301,B39)</f>
        <v>30</v>
      </c>
      <c r="D39" s="12" t="n">
        <f aca="false">SUMIFS('Raw Data'!$M$2:$M$301,'Raw Data'!$B$2:$B$301,A39,'Raw Data'!$A$2:$A$301,B39)</f>
        <v>30</v>
      </c>
      <c r="E39" s="13" t="n">
        <f aca="false">IF(C39=0,"",D39/C39)</f>
        <v>1</v>
      </c>
      <c r="F39" s="12" t="n">
        <f aca="false">COUNTIFS('Raw Data'!$B$2:$B$301,A39,'Raw Data'!$A$2:$A$301,B39,'Raw Data'!$I$2:$I$301,"Correct")</f>
        <v>20</v>
      </c>
      <c r="G39" s="12" t="n">
        <f aca="false">COUNTIFS('Raw Data'!$B$2:$B$301,A39,'Raw Data'!$A$2:$A$301,B39,'Raw Data'!$I$2:$I$301,"Incorrect")</f>
        <v>10</v>
      </c>
      <c r="H39" s="2"/>
      <c r="I39" s="2"/>
      <c r="J39" s="2"/>
      <c r="K39" s="2"/>
      <c r="L39" s="2"/>
      <c r="M39" s="2"/>
      <c r="N39" s="2"/>
      <c r="O39" s="2"/>
    </row>
    <row r="40" customFormat="false" ht="15" hidden="false" customHeight="false" outlineLevel="0" collapsed="false">
      <c r="A40" s="12" t="s">
        <v>31</v>
      </c>
      <c r="B40" s="12" t="s">
        <v>59</v>
      </c>
      <c r="C40" s="12" t="n">
        <f aca="false">COUNTIFS('Raw Data'!$B$2:$B$301,A40,'Raw Data'!$A$2:$A$301,B40)</f>
        <v>30</v>
      </c>
      <c r="D40" s="12" t="n">
        <f aca="false">SUMIFS('Raw Data'!$M$2:$M$301,'Raw Data'!$B$2:$B$301,A40,'Raw Data'!$A$2:$A$301,B40)</f>
        <v>30</v>
      </c>
      <c r="E40" s="13" t="n">
        <f aca="false">IF(C40=0,"",D40/C40)</f>
        <v>1</v>
      </c>
      <c r="F40" s="12" t="n">
        <f aca="false">COUNTIFS('Raw Data'!$B$2:$B$301,A40,'Raw Data'!$A$2:$A$301,B40,'Raw Data'!$I$2:$I$301,"Correct")</f>
        <v>30</v>
      </c>
      <c r="G40" s="12" t="n">
        <f aca="false">COUNTIFS('Raw Data'!$B$2:$B$301,A40,'Raw Data'!$A$2:$A$301,B40,'Raw Data'!$I$2:$I$301,"Incorrect")</f>
        <v>0</v>
      </c>
      <c r="H40" s="2"/>
      <c r="I40" s="2"/>
      <c r="J40" s="2"/>
      <c r="K40" s="2"/>
      <c r="L40" s="2"/>
      <c r="M40" s="2"/>
      <c r="N40" s="2"/>
      <c r="O40" s="2"/>
    </row>
    <row r="41" customFormat="false" ht="15" hidden="false" customHeight="false" outlineLevel="0" collapsed="false">
      <c r="A41" s="12" t="s">
        <v>31</v>
      </c>
      <c r="B41" s="12" t="s">
        <v>60</v>
      </c>
      <c r="C41" s="12" t="n">
        <f aca="false">COUNTIFS('Raw Data'!$B$2:$B$301,A41,'Raw Data'!$A$2:$A$301,B41)</f>
        <v>30</v>
      </c>
      <c r="D41" s="12" t="n">
        <f aca="false">SUMIFS('Raw Data'!$M$2:$M$301,'Raw Data'!$B$2:$B$301,A41,'Raw Data'!$A$2:$A$301,B41)</f>
        <v>30</v>
      </c>
      <c r="E41" s="13" t="n">
        <f aca="false">IF(C41=0,"",D41/C41)</f>
        <v>1</v>
      </c>
      <c r="F41" s="12" t="n">
        <f aca="false">COUNTIFS('Raw Data'!$B$2:$B$301,A41,'Raw Data'!$A$2:$A$301,B41,'Raw Data'!$I$2:$I$301,"Correct")</f>
        <v>10</v>
      </c>
      <c r="G41" s="12" t="n">
        <f aca="false">COUNTIFS('Raw Data'!$B$2:$B$301,A41,'Raw Data'!$A$2:$A$301,B41,'Raw Data'!$I$2:$I$301,"Incorrect")</f>
        <v>20</v>
      </c>
      <c r="H41" s="2"/>
      <c r="I41" s="2"/>
      <c r="J41" s="2"/>
      <c r="K41" s="2"/>
      <c r="L41" s="2"/>
      <c r="M41" s="2"/>
      <c r="N41" s="2"/>
      <c r="O41" s="2"/>
    </row>
    <row r="42" customFormat="false" ht="15" hidden="false" customHeight="false" outlineLevel="0" collapsed="false">
      <c r="A42" s="12" t="s">
        <v>31</v>
      </c>
      <c r="B42" s="12" t="s">
        <v>61</v>
      </c>
      <c r="C42" s="12" t="n">
        <f aca="false">COUNTIFS('Raw Data'!$B$2:$B$301,A42,'Raw Data'!$A$2:$A$301,B42)</f>
        <v>30</v>
      </c>
      <c r="D42" s="12" t="n">
        <f aca="false">SUMIFS('Raw Data'!$M$2:$M$301,'Raw Data'!$B$2:$B$301,A42,'Raw Data'!$A$2:$A$301,B42)</f>
        <v>30</v>
      </c>
      <c r="E42" s="13" t="n">
        <f aca="false">IF(C42=0,"",D42/C42)</f>
        <v>1</v>
      </c>
      <c r="F42" s="12" t="n">
        <f aca="false">COUNTIFS('Raw Data'!$B$2:$B$301,A42,'Raw Data'!$A$2:$A$301,B42,'Raw Data'!$I$2:$I$301,"Correct")</f>
        <v>10</v>
      </c>
      <c r="G42" s="12" t="n">
        <f aca="false">COUNTIFS('Raw Data'!$B$2:$B$301,A42,'Raw Data'!$A$2:$A$301,B42,'Raw Data'!$I$2:$I$301,"Incorrect")</f>
        <v>20</v>
      </c>
      <c r="H42" s="2"/>
      <c r="I42" s="2"/>
      <c r="J42" s="2"/>
      <c r="K42" s="2"/>
      <c r="L42" s="2"/>
      <c r="M42" s="2"/>
      <c r="N42" s="2"/>
      <c r="O42" s="2"/>
    </row>
    <row r="43" customFormat="false" ht="15" hidden="false" customHeight="false" outlineLevel="0" collapsed="false">
      <c r="A43" s="12" t="s">
        <v>32</v>
      </c>
      <c r="B43" s="12" t="s">
        <v>57</v>
      </c>
      <c r="C43" s="12" t="n">
        <f aca="false">COUNTIFS('Raw Data'!$B$2:$B$301,A43,'Raw Data'!$A$2:$A$301,B43)</f>
        <v>30</v>
      </c>
      <c r="D43" s="12" t="n">
        <f aca="false">SUMIFS('Raw Data'!$M$2:$M$301,'Raw Data'!$B$2:$B$301,A43,'Raw Data'!$A$2:$A$301,B43)</f>
        <v>27</v>
      </c>
      <c r="E43" s="13" t="n">
        <f aca="false">IF(C43=0,"",D43/C43)</f>
        <v>0.9</v>
      </c>
      <c r="F43" s="12" t="n">
        <f aca="false">COUNTIFS('Raw Data'!$B$2:$B$301,A43,'Raw Data'!$A$2:$A$301,B43,'Raw Data'!$I$2:$I$301,"Correct")</f>
        <v>19</v>
      </c>
      <c r="G43" s="12" t="n">
        <f aca="false">COUNTIFS('Raw Data'!$B$2:$B$301,A43,'Raw Data'!$A$2:$A$301,B43,'Raw Data'!$I$2:$I$301,"Incorrect")</f>
        <v>11</v>
      </c>
      <c r="H43" s="2"/>
      <c r="I43" s="2"/>
      <c r="J43" s="2"/>
      <c r="K43" s="2"/>
      <c r="L43" s="2"/>
      <c r="M43" s="2"/>
      <c r="N43" s="2"/>
      <c r="O43" s="2"/>
    </row>
    <row r="44" customFormat="false" ht="15" hidden="false" customHeight="false" outlineLevel="0" collapsed="false">
      <c r="A44" s="12" t="s">
        <v>32</v>
      </c>
      <c r="B44" s="12" t="s">
        <v>58</v>
      </c>
      <c r="C44" s="12" t="n">
        <f aca="false">COUNTIFS('Raw Data'!$B$2:$B$301,A44,'Raw Data'!$A$2:$A$301,B44)</f>
        <v>30</v>
      </c>
      <c r="D44" s="12" t="n">
        <f aca="false">SUMIFS('Raw Data'!$M$2:$M$301,'Raw Data'!$B$2:$B$301,A44,'Raw Data'!$A$2:$A$301,B44)</f>
        <v>22</v>
      </c>
      <c r="E44" s="13" t="n">
        <f aca="false">IF(C44=0,"",D44/C44)</f>
        <v>0.733333333333333</v>
      </c>
      <c r="F44" s="12" t="n">
        <f aca="false">COUNTIFS('Raw Data'!$B$2:$B$301,A44,'Raw Data'!$A$2:$A$301,B44,'Raw Data'!$I$2:$I$301,"Correct")</f>
        <v>20</v>
      </c>
      <c r="G44" s="12" t="n">
        <f aca="false">COUNTIFS('Raw Data'!$B$2:$B$301,A44,'Raw Data'!$A$2:$A$301,B44,'Raw Data'!$I$2:$I$301,"Incorrect")</f>
        <v>10</v>
      </c>
      <c r="H44" s="2"/>
      <c r="I44" s="2"/>
      <c r="J44" s="2"/>
      <c r="K44" s="2"/>
      <c r="L44" s="2"/>
      <c r="M44" s="2"/>
      <c r="N44" s="2"/>
      <c r="O44" s="2"/>
    </row>
    <row r="45" customFormat="false" ht="15" hidden="false" customHeight="false" outlineLevel="0" collapsed="false">
      <c r="A45" s="12" t="s">
        <v>32</v>
      </c>
      <c r="B45" s="12" t="s">
        <v>59</v>
      </c>
      <c r="C45" s="12" t="n">
        <f aca="false">COUNTIFS('Raw Data'!$B$2:$B$301,A45,'Raw Data'!$A$2:$A$301,B45)</f>
        <v>30</v>
      </c>
      <c r="D45" s="12" t="n">
        <f aca="false">SUMIFS('Raw Data'!$M$2:$M$301,'Raw Data'!$B$2:$B$301,A45,'Raw Data'!$A$2:$A$301,B45)</f>
        <v>30</v>
      </c>
      <c r="E45" s="13" t="n">
        <f aca="false">IF(C45=0,"",D45/C45)</f>
        <v>1</v>
      </c>
      <c r="F45" s="12" t="n">
        <f aca="false">COUNTIFS('Raw Data'!$B$2:$B$301,A45,'Raw Data'!$A$2:$A$301,B45,'Raw Data'!$I$2:$I$301,"Correct")</f>
        <v>18</v>
      </c>
      <c r="G45" s="12" t="n">
        <f aca="false">COUNTIFS('Raw Data'!$B$2:$B$301,A45,'Raw Data'!$A$2:$A$301,B45,'Raw Data'!$I$2:$I$301,"Incorrect")</f>
        <v>12</v>
      </c>
      <c r="H45" s="2"/>
      <c r="I45" s="2"/>
      <c r="J45" s="2"/>
      <c r="K45" s="2"/>
      <c r="L45" s="2"/>
      <c r="M45" s="2"/>
      <c r="N45" s="2"/>
      <c r="O45" s="2"/>
    </row>
    <row r="46" customFormat="false" ht="15" hidden="false" customHeight="false" outlineLevel="0" collapsed="false">
      <c r="A46" s="12" t="s">
        <v>32</v>
      </c>
      <c r="B46" s="12" t="s">
        <v>60</v>
      </c>
      <c r="C46" s="12" t="n">
        <f aca="false">COUNTIFS('Raw Data'!$B$2:$B$301,A46,'Raw Data'!$A$2:$A$301,B46)</f>
        <v>30</v>
      </c>
      <c r="D46" s="12" t="n">
        <f aca="false">SUMIFS('Raw Data'!$M$2:$M$301,'Raw Data'!$B$2:$B$301,A46,'Raw Data'!$A$2:$A$301,B46)</f>
        <v>30</v>
      </c>
      <c r="E46" s="13" t="n">
        <f aca="false">IF(C46=0,"",D46/C46)</f>
        <v>1</v>
      </c>
      <c r="F46" s="12" t="n">
        <f aca="false">COUNTIFS('Raw Data'!$B$2:$B$301,A46,'Raw Data'!$A$2:$A$301,B46,'Raw Data'!$I$2:$I$301,"Correct")</f>
        <v>0</v>
      </c>
      <c r="G46" s="12" t="n">
        <f aca="false">COUNTIFS('Raw Data'!$B$2:$B$301,A46,'Raw Data'!$A$2:$A$301,B46,'Raw Data'!$I$2:$I$301,"Incorrect")</f>
        <v>30</v>
      </c>
      <c r="H46" s="2"/>
      <c r="I46" s="2"/>
      <c r="J46" s="2"/>
      <c r="K46" s="2"/>
      <c r="L46" s="2"/>
      <c r="M46" s="2"/>
      <c r="N46" s="2"/>
      <c r="O46" s="2"/>
    </row>
    <row r="47" customFormat="false" ht="15" hidden="false" customHeight="false" outlineLevel="0" collapsed="false">
      <c r="A47" s="12" t="s">
        <v>32</v>
      </c>
      <c r="B47" s="12" t="s">
        <v>61</v>
      </c>
      <c r="C47" s="12" t="n">
        <f aca="false">COUNTIFS('Raw Data'!$B$2:$B$301,A47,'Raw Data'!$A$2:$A$301,B47)</f>
        <v>30</v>
      </c>
      <c r="D47" s="12" t="n">
        <f aca="false">SUMIFS('Raw Data'!$M$2:$M$301,'Raw Data'!$B$2:$B$301,A47,'Raw Data'!$A$2:$A$301,B47)</f>
        <v>28</v>
      </c>
      <c r="E47" s="13" t="n">
        <f aca="false">IF(C47=0,"",D47/C47)</f>
        <v>0.933333333333333</v>
      </c>
      <c r="F47" s="12" t="n">
        <f aca="false">COUNTIFS('Raw Data'!$B$2:$B$301,A47,'Raw Data'!$A$2:$A$301,B47,'Raw Data'!$I$2:$I$301,"Correct")</f>
        <v>20</v>
      </c>
      <c r="G47" s="12" t="n">
        <f aca="false">COUNTIFS('Raw Data'!$B$2:$B$301,A47,'Raw Data'!$A$2:$A$301,B47,'Raw Data'!$I$2:$I$301,"Incorrect")</f>
        <v>10</v>
      </c>
      <c r="H47" s="2"/>
      <c r="I47" s="2"/>
      <c r="J47" s="2"/>
      <c r="K47" s="2"/>
      <c r="L47" s="2"/>
      <c r="M47" s="2"/>
      <c r="N47" s="2"/>
      <c r="O47" s="2"/>
    </row>
  </sheetData>
  <conditionalFormatting sqref="O14:O16">
    <cfRule type="cellIs" priority="2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5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5" min="14" style="0" width="9"/>
    <col collapsed="false" customWidth="true" hidden="false" outlineLevel="0" max="16" min="16" style="0" width="60"/>
    <col collapsed="false" customWidth="true" hidden="false" outlineLevel="0" max="17" min="17" style="0" width="32"/>
  </cols>
  <sheetData>
    <row r="1" customFormat="false" ht="31.5" hidden="false" customHeight="true" outlineLevel="0" collapsed="false">
      <c r="A1" s="9" t="s">
        <v>53</v>
      </c>
      <c r="B1" s="9" t="s">
        <v>16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  <c r="Q1" s="9" t="s">
        <v>76</v>
      </c>
    </row>
    <row r="2" customFormat="false" ht="15" hidden="false" customHeight="false" outlineLevel="0" collapsed="false">
      <c r="A2" s="11" t="s">
        <v>57</v>
      </c>
      <c r="B2" s="11" t="s">
        <v>31</v>
      </c>
      <c r="C2" s="11" t="n">
        <v>1</v>
      </c>
      <c r="D2" s="11" t="n">
        <v>1</v>
      </c>
      <c r="E2" s="25" t="n">
        <v>102.5</v>
      </c>
      <c r="F2" s="25" t="n">
        <v>125</v>
      </c>
      <c r="G2" s="11" t="s">
        <v>77</v>
      </c>
      <c r="H2" s="24" t="str">
        <f aca="false">IF(B2="Squat",IF(AND(E2&lt;=Summary!$B$7,OR(F2="",F2&lt;=Summary!$B$8)),"Correct","Incorrect"),IF(AND(E2&lt;=Summary!$B$9,OR(F2="",F2&gt;=Summary!$B$10)),"Correct","Incorrect"))</f>
        <v>Incorrect</v>
      </c>
      <c r="I2" s="26" t="s">
        <v>77</v>
      </c>
      <c r="J2" s="11" t="s">
        <v>78</v>
      </c>
      <c r="K2" s="24" t="str">
        <f aca="false">IF(J2="Yes",IF(I2="Correct","Incorrect","Correct"),I2)</f>
        <v>Incorrect</v>
      </c>
      <c r="L2" s="24" t="str">
        <f aca="false">IF(I2="Incorrect",IF(H2="Incorrect","TP","FN"),IF(H2="Incorrect","FP","TN"))</f>
        <v>TP</v>
      </c>
      <c r="M2" s="24" t="n">
        <f aca="false">IF(H2=I2,1,0)</f>
        <v>1</v>
      </c>
      <c r="N2" s="24" t="n">
        <f aca="false">IF(G2=I2,1,0)</f>
        <v>1</v>
      </c>
      <c r="O2" s="24" t="n">
        <f aca="false">IF(H2=K2,1,0)</f>
        <v>1</v>
      </c>
      <c r="P2" s="24"/>
      <c r="Q2" s="24" t="s">
        <v>79</v>
      </c>
    </row>
    <row r="3" customFormat="false" ht="15" hidden="false" customHeight="false" outlineLevel="0" collapsed="false">
      <c r="A3" s="11" t="s">
        <v>57</v>
      </c>
      <c r="B3" s="11" t="s">
        <v>31</v>
      </c>
      <c r="C3" s="11" t="n">
        <v>1</v>
      </c>
      <c r="D3" s="11" t="n">
        <v>2</v>
      </c>
      <c r="E3" s="25" t="n">
        <v>58.9</v>
      </c>
      <c r="F3" s="25" t="n">
        <v>126</v>
      </c>
      <c r="G3" s="11" t="s">
        <v>77</v>
      </c>
      <c r="H3" s="24" t="str">
        <f aca="false">IF(B3="Squat",IF(AND(E3&lt;=Summary!$B$7,OR(F3="",F3&lt;=Summary!$B$8)),"Correct","Incorrect"),IF(AND(E3&lt;=Summary!$B$9,OR(F3="",F3&gt;=Summary!$B$10)),"Correct","Incorrect"))</f>
        <v>Incorrect</v>
      </c>
      <c r="I3" s="26" t="s">
        <v>77</v>
      </c>
      <c r="J3" s="11" t="s">
        <v>78</v>
      </c>
      <c r="K3" s="24" t="str">
        <f aca="false">IF(J3="Yes",IF(I3="Correct","Incorrect","Correct"),I3)</f>
        <v>Incorrect</v>
      </c>
      <c r="L3" s="24" t="str">
        <f aca="false">IF(I3="Incorrect",IF(H3="Incorrect","TP","FN"),IF(H3="Incorrect","FP","TN"))</f>
        <v>TP</v>
      </c>
      <c r="M3" s="24" t="n">
        <f aca="false">IF(H3=I3,1,0)</f>
        <v>1</v>
      </c>
      <c r="N3" s="24" t="n">
        <f aca="false">IF(G3=I3,1,0)</f>
        <v>1</v>
      </c>
      <c r="O3" s="24" t="n">
        <f aca="false">IF(H3=K3,1,0)</f>
        <v>1</v>
      </c>
      <c r="P3" s="24"/>
      <c r="Q3" s="24" t="s">
        <v>79</v>
      </c>
    </row>
    <row r="4" customFormat="false" ht="15" hidden="false" customHeight="false" outlineLevel="0" collapsed="false">
      <c r="A4" s="11" t="s">
        <v>57</v>
      </c>
      <c r="B4" s="11" t="s">
        <v>31</v>
      </c>
      <c r="C4" s="11" t="n">
        <v>1</v>
      </c>
      <c r="D4" s="11" t="n">
        <v>3</v>
      </c>
      <c r="E4" s="25" t="n">
        <v>61.4</v>
      </c>
      <c r="F4" s="25" t="n">
        <v>127.3</v>
      </c>
      <c r="G4" s="11" t="s">
        <v>77</v>
      </c>
      <c r="H4" s="24" t="str">
        <f aca="false">IF(B4="Squat",IF(AND(E4&lt;=Summary!$B$7,OR(F4="",F4&lt;=Summary!$B$8)),"Correct","Incorrect"),IF(AND(E4&lt;=Summary!$B$9,OR(F4="",F4&gt;=Summary!$B$10)),"Correct","Incorrect"))</f>
        <v>Incorrect</v>
      </c>
      <c r="I4" s="26" t="s">
        <v>77</v>
      </c>
      <c r="J4" s="11" t="s">
        <v>78</v>
      </c>
      <c r="K4" s="24" t="str">
        <f aca="false">IF(J4="Yes",IF(I4="Correct","Incorrect","Correct"),I4)</f>
        <v>Incorrect</v>
      </c>
      <c r="L4" s="24" t="str">
        <f aca="false">IF(I4="Incorrect",IF(H4="Incorrect","TP","FN"),IF(H4="Incorrect","FP","TN"))</f>
        <v>TP</v>
      </c>
      <c r="M4" s="24" t="n">
        <f aca="false">IF(H4=I4,1,0)</f>
        <v>1</v>
      </c>
      <c r="N4" s="24" t="n">
        <f aca="false">IF(G4=I4,1,0)</f>
        <v>1</v>
      </c>
      <c r="O4" s="24" t="n">
        <f aca="false">IF(H4=K4,1,0)</f>
        <v>1</v>
      </c>
      <c r="P4" s="24"/>
      <c r="Q4" s="24" t="s">
        <v>79</v>
      </c>
    </row>
    <row r="5" customFormat="false" ht="15" hidden="false" customHeight="false" outlineLevel="0" collapsed="false">
      <c r="A5" s="11" t="s">
        <v>57</v>
      </c>
      <c r="B5" s="11" t="s">
        <v>31</v>
      </c>
      <c r="C5" s="11" t="n">
        <v>1</v>
      </c>
      <c r="D5" s="11" t="n">
        <v>4</v>
      </c>
      <c r="E5" s="25" t="n">
        <v>104.1</v>
      </c>
      <c r="F5" s="25" t="n">
        <v>107</v>
      </c>
      <c r="G5" s="11" t="s">
        <v>77</v>
      </c>
      <c r="H5" s="24" t="str">
        <f aca="false">IF(B5="Squat",IF(AND(E5&lt;=Summary!$B$7,OR(F5="",F5&lt;=Summary!$B$8)),"Correct","Incorrect"),IF(AND(E5&lt;=Summary!$B$9,OR(F5="",F5&gt;=Summary!$B$10)),"Correct","Incorrect"))</f>
        <v>Incorrect</v>
      </c>
      <c r="I5" s="26" t="s">
        <v>77</v>
      </c>
      <c r="J5" s="11" t="s">
        <v>78</v>
      </c>
      <c r="K5" s="24" t="str">
        <f aca="false">IF(J5="Yes",IF(I5="Correct","Incorrect","Correct"),I5)</f>
        <v>Incorrect</v>
      </c>
      <c r="L5" s="24" t="str">
        <f aca="false">IF(I5="Incorrect",IF(H5="Incorrect","TP","FN"),IF(H5="Incorrect","FP","TN"))</f>
        <v>TP</v>
      </c>
      <c r="M5" s="24" t="n">
        <f aca="false">IF(H5=I5,1,0)</f>
        <v>1</v>
      </c>
      <c r="N5" s="24" t="n">
        <f aca="false">IF(G5=I5,1,0)</f>
        <v>1</v>
      </c>
      <c r="O5" s="24" t="n">
        <f aca="false">IF(H5=K5,1,0)</f>
        <v>1</v>
      </c>
      <c r="P5" s="24"/>
      <c r="Q5" s="24" t="s">
        <v>79</v>
      </c>
    </row>
    <row r="6" customFormat="false" ht="15" hidden="false" customHeight="false" outlineLevel="0" collapsed="false">
      <c r="A6" s="11" t="s">
        <v>57</v>
      </c>
      <c r="B6" s="11" t="s">
        <v>31</v>
      </c>
      <c r="C6" s="11" t="n">
        <v>1</v>
      </c>
      <c r="D6" s="11" t="n">
        <v>5</v>
      </c>
      <c r="E6" s="25" t="n">
        <v>113.5</v>
      </c>
      <c r="F6" s="25" t="n">
        <v>113.1</v>
      </c>
      <c r="G6" s="11" t="s">
        <v>77</v>
      </c>
      <c r="H6" s="24" t="str">
        <f aca="false">IF(B6="Squat",IF(AND(E6&lt;=Summary!$B$7,OR(F6="",F6&lt;=Summary!$B$8)),"Correct","Incorrect"),IF(AND(E6&lt;=Summary!$B$9,OR(F6="",F6&gt;=Summary!$B$10)),"Correct","Incorrect"))</f>
        <v>Incorrect</v>
      </c>
      <c r="I6" s="26" t="s">
        <v>77</v>
      </c>
      <c r="J6" s="11" t="s">
        <v>78</v>
      </c>
      <c r="K6" s="24" t="str">
        <f aca="false">IF(J6="Yes",IF(I6="Correct","Incorrect","Correct"),I6)</f>
        <v>Incorrect</v>
      </c>
      <c r="L6" s="24" t="str">
        <f aca="false">IF(I6="Incorrect",IF(H6="Incorrect","TP","FN"),IF(H6="Incorrect","FP","TN"))</f>
        <v>TP</v>
      </c>
      <c r="M6" s="24" t="n">
        <f aca="false">IF(H6=I6,1,0)</f>
        <v>1</v>
      </c>
      <c r="N6" s="24" t="n">
        <f aca="false">IF(G6=I6,1,0)</f>
        <v>1</v>
      </c>
      <c r="O6" s="24" t="n">
        <f aca="false">IF(H6=K6,1,0)</f>
        <v>1</v>
      </c>
      <c r="P6" s="24"/>
      <c r="Q6" s="24" t="s">
        <v>79</v>
      </c>
    </row>
    <row r="7" customFormat="false" ht="15" hidden="false" customHeight="false" outlineLevel="0" collapsed="false">
      <c r="A7" s="11" t="s">
        <v>57</v>
      </c>
      <c r="B7" s="11" t="s">
        <v>31</v>
      </c>
      <c r="C7" s="11" t="n">
        <v>1</v>
      </c>
      <c r="D7" s="11" t="n">
        <v>6</v>
      </c>
      <c r="E7" s="25" t="n">
        <v>65</v>
      </c>
      <c r="F7" s="25" t="n">
        <v>134</v>
      </c>
      <c r="G7" s="11" t="s">
        <v>77</v>
      </c>
      <c r="H7" s="24" t="str">
        <f aca="false">IF(B7="Squat",IF(AND(E7&lt;=Summary!$B$7,OR(F7="",F7&lt;=Summary!$B$8)),"Correct","Incorrect"),IF(AND(E7&lt;=Summary!$B$9,OR(F7="",F7&gt;=Summary!$B$10)),"Correct","Incorrect"))</f>
        <v>Incorrect</v>
      </c>
      <c r="I7" s="26" t="s">
        <v>77</v>
      </c>
      <c r="J7" s="11" t="s">
        <v>78</v>
      </c>
      <c r="K7" s="24" t="str">
        <f aca="false">IF(J7="Yes",IF(I7="Correct","Incorrect","Correct"),I7)</f>
        <v>Incorrect</v>
      </c>
      <c r="L7" s="24" t="str">
        <f aca="false">IF(I7="Incorrect",IF(H7="Incorrect","TP","FN"),IF(H7="Incorrect","FP","TN"))</f>
        <v>TP</v>
      </c>
      <c r="M7" s="24" t="n">
        <f aca="false">IF(H7=I7,1,0)</f>
        <v>1</v>
      </c>
      <c r="N7" s="24" t="n">
        <f aca="false">IF(G7=I7,1,0)</f>
        <v>1</v>
      </c>
      <c r="O7" s="24" t="n">
        <f aca="false">IF(H7=K7,1,0)</f>
        <v>1</v>
      </c>
      <c r="P7" s="24"/>
      <c r="Q7" s="24" t="s">
        <v>79</v>
      </c>
    </row>
    <row r="8" customFormat="false" ht="15" hidden="false" customHeight="false" outlineLevel="0" collapsed="false">
      <c r="A8" s="11" t="s">
        <v>57</v>
      </c>
      <c r="B8" s="11" t="s">
        <v>31</v>
      </c>
      <c r="C8" s="11" t="n">
        <v>1</v>
      </c>
      <c r="D8" s="11" t="n">
        <v>7</v>
      </c>
      <c r="E8" s="25" t="n">
        <v>65.6</v>
      </c>
      <c r="F8" s="25" t="n">
        <v>129</v>
      </c>
      <c r="G8" s="11" t="s">
        <v>77</v>
      </c>
      <c r="H8" s="24" t="str">
        <f aca="false">IF(B8="Squat",IF(AND(E8&lt;=Summary!$B$7,OR(F8="",F8&lt;=Summary!$B$8)),"Correct","Incorrect"),IF(AND(E8&lt;=Summary!$B$9,OR(F8="",F8&gt;=Summary!$B$10)),"Correct","Incorrect"))</f>
        <v>Incorrect</v>
      </c>
      <c r="I8" s="26" t="s">
        <v>77</v>
      </c>
      <c r="J8" s="11" t="s">
        <v>78</v>
      </c>
      <c r="K8" s="24" t="str">
        <f aca="false">IF(J8="Yes",IF(I8="Correct","Incorrect","Correct"),I8)</f>
        <v>Incorrect</v>
      </c>
      <c r="L8" s="24" t="str">
        <f aca="false">IF(I8="Incorrect",IF(H8="Incorrect","TP","FN"),IF(H8="Incorrect","FP","TN"))</f>
        <v>TP</v>
      </c>
      <c r="M8" s="24" t="n">
        <f aca="false">IF(H8=I8,1,0)</f>
        <v>1</v>
      </c>
      <c r="N8" s="24" t="n">
        <f aca="false">IF(G8=I8,1,0)</f>
        <v>1</v>
      </c>
      <c r="O8" s="24" t="n">
        <f aca="false">IF(H8=K8,1,0)</f>
        <v>1</v>
      </c>
      <c r="P8" s="24"/>
      <c r="Q8" s="24" t="s">
        <v>79</v>
      </c>
    </row>
    <row r="9" customFormat="false" ht="15" hidden="false" customHeight="false" outlineLevel="0" collapsed="false">
      <c r="A9" s="11" t="s">
        <v>57</v>
      </c>
      <c r="B9" s="11" t="s">
        <v>31</v>
      </c>
      <c r="C9" s="11" t="n">
        <v>1</v>
      </c>
      <c r="D9" s="11" t="n">
        <v>8</v>
      </c>
      <c r="E9" s="25" t="n">
        <v>64.6</v>
      </c>
      <c r="F9" s="25" t="n">
        <v>129.4</v>
      </c>
      <c r="G9" s="11" t="s">
        <v>77</v>
      </c>
      <c r="H9" s="24" t="str">
        <f aca="false">IF(B9="Squat",IF(AND(E9&lt;=Summary!$B$7,OR(F9="",F9&lt;=Summary!$B$8)),"Correct","Incorrect"),IF(AND(E9&lt;=Summary!$B$9,OR(F9="",F9&gt;=Summary!$B$10)),"Correct","Incorrect"))</f>
        <v>Incorrect</v>
      </c>
      <c r="I9" s="26" t="s">
        <v>77</v>
      </c>
      <c r="J9" s="11" t="s">
        <v>78</v>
      </c>
      <c r="K9" s="24" t="str">
        <f aca="false">IF(J9="Yes",IF(I9="Correct","Incorrect","Correct"),I9)</f>
        <v>Incorrect</v>
      </c>
      <c r="L9" s="24" t="str">
        <f aca="false">IF(I9="Incorrect",IF(H9="Incorrect","TP","FN"),IF(H9="Incorrect","FP","TN"))</f>
        <v>TP</v>
      </c>
      <c r="M9" s="24" t="n">
        <f aca="false">IF(H9=I9,1,0)</f>
        <v>1</v>
      </c>
      <c r="N9" s="24" t="n">
        <f aca="false">IF(G9=I9,1,0)</f>
        <v>1</v>
      </c>
      <c r="O9" s="24" t="n">
        <f aca="false">IF(H9=K9,1,0)</f>
        <v>1</v>
      </c>
      <c r="P9" s="24"/>
      <c r="Q9" s="24" t="s">
        <v>79</v>
      </c>
    </row>
    <row r="10" customFormat="false" ht="15" hidden="false" customHeight="false" outlineLevel="0" collapsed="false">
      <c r="A10" s="11" t="s">
        <v>57</v>
      </c>
      <c r="B10" s="11" t="s">
        <v>31</v>
      </c>
      <c r="C10" s="11" t="n">
        <v>1</v>
      </c>
      <c r="D10" s="11" t="n">
        <v>9</v>
      </c>
      <c r="E10" s="25" t="n">
        <v>64.5</v>
      </c>
      <c r="F10" s="25" t="n">
        <v>128.6</v>
      </c>
      <c r="G10" s="11" t="s">
        <v>77</v>
      </c>
      <c r="H10" s="24" t="str">
        <f aca="false">IF(B10="Squat",IF(AND(E10&lt;=Summary!$B$7,OR(F10="",F10&lt;=Summary!$B$8)),"Correct","Incorrect"),IF(AND(E10&lt;=Summary!$B$9,OR(F10="",F10&gt;=Summary!$B$10)),"Correct","Incorrect"))</f>
        <v>Incorrect</v>
      </c>
      <c r="I10" s="26" t="s">
        <v>77</v>
      </c>
      <c r="J10" s="11" t="s">
        <v>78</v>
      </c>
      <c r="K10" s="24" t="str">
        <f aca="false">IF(J10="Yes",IF(I10="Correct","Incorrect","Correct"),I10)</f>
        <v>Incorrect</v>
      </c>
      <c r="L10" s="24" t="str">
        <f aca="false">IF(I10="Incorrect",IF(H10="Incorrect","TP","FN"),IF(H10="Incorrect","FP","TN"))</f>
        <v>TP</v>
      </c>
      <c r="M10" s="24" t="n">
        <f aca="false">IF(H10=I10,1,0)</f>
        <v>1</v>
      </c>
      <c r="N10" s="24" t="n">
        <f aca="false">IF(G10=I10,1,0)</f>
        <v>1</v>
      </c>
      <c r="O10" s="24" t="n">
        <f aca="false">IF(H10=K10,1,0)</f>
        <v>1</v>
      </c>
      <c r="P10" s="24"/>
      <c r="Q10" s="24" t="s">
        <v>79</v>
      </c>
    </row>
    <row r="11" customFormat="false" ht="15" hidden="false" customHeight="false" outlineLevel="0" collapsed="false">
      <c r="A11" s="11" t="s">
        <v>57</v>
      </c>
      <c r="B11" s="11" t="s">
        <v>31</v>
      </c>
      <c r="C11" s="11" t="n">
        <v>1</v>
      </c>
      <c r="D11" s="11" t="n">
        <v>10</v>
      </c>
      <c r="E11" s="25" t="n">
        <v>61.7</v>
      </c>
      <c r="F11" s="25" t="n">
        <v>124.3</v>
      </c>
      <c r="G11" s="11" t="s">
        <v>77</v>
      </c>
      <c r="H11" s="24" t="str">
        <f aca="false">IF(B11="Squat",IF(AND(E11&lt;=Summary!$B$7,OR(F11="",F11&lt;=Summary!$B$8)),"Correct","Incorrect"),IF(AND(E11&lt;=Summary!$B$9,OR(F11="",F11&gt;=Summary!$B$10)),"Correct","Incorrect"))</f>
        <v>Incorrect</v>
      </c>
      <c r="I11" s="26" t="s">
        <v>77</v>
      </c>
      <c r="J11" s="11" t="s">
        <v>78</v>
      </c>
      <c r="K11" s="24" t="str">
        <f aca="false">IF(J11="Yes",IF(I11="Correct","Incorrect","Correct"),I11)</f>
        <v>Incorrect</v>
      </c>
      <c r="L11" s="24" t="str">
        <f aca="false">IF(I11="Incorrect",IF(H11="Incorrect","TP","FN"),IF(H11="Incorrect","FP","TN"))</f>
        <v>TP</v>
      </c>
      <c r="M11" s="24" t="n">
        <f aca="false">IF(H11=I11,1,0)</f>
        <v>1</v>
      </c>
      <c r="N11" s="24" t="n">
        <f aca="false">IF(G11=I11,1,0)</f>
        <v>1</v>
      </c>
      <c r="O11" s="24" t="n">
        <f aca="false">IF(H11=K11,1,0)</f>
        <v>1</v>
      </c>
      <c r="P11" s="24"/>
      <c r="Q11" s="24" t="s">
        <v>79</v>
      </c>
    </row>
    <row r="12" customFormat="false" ht="15" hidden="false" customHeight="false" outlineLevel="0" collapsed="false">
      <c r="A12" s="11" t="s">
        <v>57</v>
      </c>
      <c r="B12" s="11" t="s">
        <v>31</v>
      </c>
      <c r="C12" s="11" t="n">
        <v>2</v>
      </c>
      <c r="D12" s="11" t="n">
        <v>1</v>
      </c>
      <c r="E12" s="25" t="n">
        <v>58.8</v>
      </c>
      <c r="F12" s="25" t="n">
        <v>121.6</v>
      </c>
      <c r="G12" s="11" t="s">
        <v>77</v>
      </c>
      <c r="H12" s="24" t="str">
        <f aca="false">IF(B12="Squat",IF(AND(E12&lt;=Summary!$B$7,OR(F12="",F12&lt;=Summary!$B$8)),"Correct","Incorrect"),IF(AND(E12&lt;=Summary!$B$9,OR(F12="",F12&gt;=Summary!$B$10)),"Correct","Incorrect"))</f>
        <v>Incorrect</v>
      </c>
      <c r="I12" s="26" t="s">
        <v>77</v>
      </c>
      <c r="J12" s="11" t="s">
        <v>78</v>
      </c>
      <c r="K12" s="24" t="str">
        <f aca="false">IF(J12="Yes",IF(I12="Correct","Incorrect","Correct"),I12)</f>
        <v>Incorrect</v>
      </c>
      <c r="L12" s="24" t="str">
        <f aca="false">IF(I12="Incorrect",IF(H12="Incorrect","TP","FN"),IF(H12="Incorrect","FP","TN"))</f>
        <v>TP</v>
      </c>
      <c r="M12" s="24" t="n">
        <f aca="false">IF(H12=I12,1,0)</f>
        <v>1</v>
      </c>
      <c r="N12" s="24" t="n">
        <f aca="false">IF(G12=I12,1,0)</f>
        <v>1</v>
      </c>
      <c r="O12" s="24" t="n">
        <f aca="false">IF(H12=K12,1,0)</f>
        <v>1</v>
      </c>
      <c r="P12" s="24"/>
      <c r="Q12" s="24" t="s">
        <v>79</v>
      </c>
    </row>
    <row r="13" customFormat="false" ht="15" hidden="false" customHeight="false" outlineLevel="0" collapsed="false">
      <c r="A13" s="11" t="s">
        <v>57</v>
      </c>
      <c r="B13" s="11" t="s">
        <v>31</v>
      </c>
      <c r="C13" s="11" t="n">
        <v>2</v>
      </c>
      <c r="D13" s="11" t="n">
        <v>2</v>
      </c>
      <c r="E13" s="25" t="n">
        <v>58.7</v>
      </c>
      <c r="F13" s="25" t="n">
        <v>118.6</v>
      </c>
      <c r="G13" s="11" t="s">
        <v>77</v>
      </c>
      <c r="H13" s="24" t="str">
        <f aca="false">IF(B13="Squat",IF(AND(E13&lt;=Summary!$B$7,OR(F13="",F13&lt;=Summary!$B$8)),"Correct","Incorrect"),IF(AND(E13&lt;=Summary!$B$9,OR(F13="",F13&gt;=Summary!$B$10)),"Correct","Incorrect"))</f>
        <v>Incorrect</v>
      </c>
      <c r="I13" s="26" t="s">
        <v>77</v>
      </c>
      <c r="J13" s="11" t="s">
        <v>78</v>
      </c>
      <c r="K13" s="24" t="str">
        <f aca="false">IF(J13="Yes",IF(I13="Correct","Incorrect","Correct"),I13)</f>
        <v>Incorrect</v>
      </c>
      <c r="L13" s="24" t="str">
        <f aca="false">IF(I13="Incorrect",IF(H13="Incorrect","TP","FN"),IF(H13="Incorrect","FP","TN"))</f>
        <v>TP</v>
      </c>
      <c r="M13" s="24" t="n">
        <f aca="false">IF(H13=I13,1,0)</f>
        <v>1</v>
      </c>
      <c r="N13" s="24" t="n">
        <f aca="false">IF(G13=I13,1,0)</f>
        <v>1</v>
      </c>
      <c r="O13" s="24" t="n">
        <f aca="false">IF(H13=K13,1,0)</f>
        <v>1</v>
      </c>
      <c r="P13" s="24"/>
      <c r="Q13" s="24" t="s">
        <v>79</v>
      </c>
    </row>
    <row r="14" customFormat="false" ht="15" hidden="false" customHeight="false" outlineLevel="0" collapsed="false">
      <c r="A14" s="11" t="s">
        <v>57</v>
      </c>
      <c r="B14" s="11" t="s">
        <v>31</v>
      </c>
      <c r="C14" s="11" t="n">
        <v>2</v>
      </c>
      <c r="D14" s="11" t="n">
        <v>3</v>
      </c>
      <c r="E14" s="25" t="n">
        <v>65.5</v>
      </c>
      <c r="F14" s="25" t="n">
        <v>124.2</v>
      </c>
      <c r="G14" s="11" t="s">
        <v>77</v>
      </c>
      <c r="H14" s="24" t="str">
        <f aca="false">IF(B14="Squat",IF(AND(E14&lt;=Summary!$B$7,OR(F14="",F14&lt;=Summary!$B$8)),"Correct","Incorrect"),IF(AND(E14&lt;=Summary!$B$9,OR(F14="",F14&gt;=Summary!$B$10)),"Correct","Incorrect"))</f>
        <v>Incorrect</v>
      </c>
      <c r="I14" s="26" t="s">
        <v>77</v>
      </c>
      <c r="J14" s="11" t="s">
        <v>78</v>
      </c>
      <c r="K14" s="24" t="str">
        <f aca="false">IF(J14="Yes",IF(I14="Correct","Incorrect","Correct"),I14)</f>
        <v>Incorrect</v>
      </c>
      <c r="L14" s="24" t="str">
        <f aca="false">IF(I14="Incorrect",IF(H14="Incorrect","TP","FN"),IF(H14="Incorrect","FP","TN"))</f>
        <v>TP</v>
      </c>
      <c r="M14" s="24" t="n">
        <f aca="false">IF(H14=I14,1,0)</f>
        <v>1</v>
      </c>
      <c r="N14" s="24" t="n">
        <f aca="false">IF(G14=I14,1,0)</f>
        <v>1</v>
      </c>
      <c r="O14" s="24" t="n">
        <f aca="false">IF(H14=K14,1,0)</f>
        <v>1</v>
      </c>
      <c r="P14" s="24"/>
      <c r="Q14" s="24" t="s">
        <v>79</v>
      </c>
    </row>
    <row r="15" customFormat="false" ht="15" hidden="false" customHeight="false" outlineLevel="0" collapsed="false">
      <c r="A15" s="11" t="s">
        <v>57</v>
      </c>
      <c r="B15" s="11" t="s">
        <v>31</v>
      </c>
      <c r="C15" s="11" t="n">
        <v>2</v>
      </c>
      <c r="D15" s="11" t="n">
        <v>4</v>
      </c>
      <c r="E15" s="25" t="n">
        <v>83.2</v>
      </c>
      <c r="F15" s="25" t="n">
        <v>143.7</v>
      </c>
      <c r="G15" s="11" t="s">
        <v>77</v>
      </c>
      <c r="H15" s="24" t="str">
        <f aca="false">IF(B15="Squat",IF(AND(E15&lt;=Summary!$B$7,OR(F15="",F15&lt;=Summary!$B$8)),"Correct","Incorrect"),IF(AND(E15&lt;=Summary!$B$9,OR(F15="",F15&gt;=Summary!$B$10)),"Correct","Incorrect"))</f>
        <v>Incorrect</v>
      </c>
      <c r="I15" s="26" t="s">
        <v>77</v>
      </c>
      <c r="J15" s="11" t="s">
        <v>78</v>
      </c>
      <c r="K15" s="24" t="str">
        <f aca="false">IF(J15="Yes",IF(I15="Correct","Incorrect","Correct"),I15)</f>
        <v>Incorrect</v>
      </c>
      <c r="L15" s="24" t="str">
        <f aca="false">IF(I15="Incorrect",IF(H15="Incorrect","TP","FN"),IF(H15="Incorrect","FP","TN"))</f>
        <v>TP</v>
      </c>
      <c r="M15" s="24" t="n">
        <f aca="false">IF(H15=I15,1,0)</f>
        <v>1</v>
      </c>
      <c r="N15" s="24" t="n">
        <f aca="false">IF(G15=I15,1,0)</f>
        <v>1</v>
      </c>
      <c r="O15" s="24" t="n">
        <f aca="false">IF(H15=K15,1,0)</f>
        <v>1</v>
      </c>
      <c r="P15" s="24"/>
      <c r="Q15" s="24" t="s">
        <v>79</v>
      </c>
    </row>
    <row r="16" customFormat="false" ht="15" hidden="false" customHeight="false" outlineLevel="0" collapsed="false">
      <c r="A16" s="11" t="s">
        <v>57</v>
      </c>
      <c r="B16" s="11" t="s">
        <v>31</v>
      </c>
      <c r="C16" s="11" t="n">
        <v>2</v>
      </c>
      <c r="D16" s="11" t="n">
        <v>5</v>
      </c>
      <c r="E16" s="25" t="n">
        <v>89.3</v>
      </c>
      <c r="F16" s="25" t="n">
        <v>129.9</v>
      </c>
      <c r="G16" s="11" t="s">
        <v>77</v>
      </c>
      <c r="H16" s="24" t="str">
        <f aca="false">IF(B16="Squat",IF(AND(E16&lt;=Summary!$B$7,OR(F16="",F16&lt;=Summary!$B$8)),"Correct","Incorrect"),IF(AND(E16&lt;=Summary!$B$9,OR(F16="",F16&gt;=Summary!$B$10)),"Correct","Incorrect"))</f>
        <v>Incorrect</v>
      </c>
      <c r="I16" s="26" t="s">
        <v>77</v>
      </c>
      <c r="J16" s="11" t="s">
        <v>78</v>
      </c>
      <c r="K16" s="24" t="str">
        <f aca="false">IF(J16="Yes",IF(I16="Correct","Incorrect","Correct"),I16)</f>
        <v>Incorrect</v>
      </c>
      <c r="L16" s="24" t="str">
        <f aca="false">IF(I16="Incorrect",IF(H16="Incorrect","TP","FN"),IF(H16="Incorrect","FP","TN"))</f>
        <v>TP</v>
      </c>
      <c r="M16" s="24" t="n">
        <f aca="false">IF(H16=I16,1,0)</f>
        <v>1</v>
      </c>
      <c r="N16" s="24" t="n">
        <f aca="false">IF(G16=I16,1,0)</f>
        <v>1</v>
      </c>
      <c r="O16" s="24" t="n">
        <f aca="false">IF(H16=K16,1,0)</f>
        <v>1</v>
      </c>
      <c r="P16" s="24"/>
      <c r="Q16" s="24" t="s">
        <v>79</v>
      </c>
    </row>
    <row r="17" customFormat="false" ht="15" hidden="false" customHeight="false" outlineLevel="0" collapsed="false">
      <c r="A17" s="11" t="s">
        <v>57</v>
      </c>
      <c r="B17" s="11" t="s">
        <v>31</v>
      </c>
      <c r="C17" s="11" t="n">
        <v>2</v>
      </c>
      <c r="D17" s="11" t="n">
        <v>6</v>
      </c>
      <c r="E17" s="25" t="n">
        <v>63.4</v>
      </c>
      <c r="F17" s="25" t="n">
        <v>130.4</v>
      </c>
      <c r="G17" s="11" t="s">
        <v>77</v>
      </c>
      <c r="H17" s="24" t="str">
        <f aca="false">IF(B17="Squat",IF(AND(E17&lt;=Summary!$B$7,OR(F17="",F17&lt;=Summary!$B$8)),"Correct","Incorrect"),IF(AND(E17&lt;=Summary!$B$9,OR(F17="",F17&gt;=Summary!$B$10)),"Correct","Incorrect"))</f>
        <v>Incorrect</v>
      </c>
      <c r="I17" s="26" t="s">
        <v>77</v>
      </c>
      <c r="J17" s="11" t="s">
        <v>78</v>
      </c>
      <c r="K17" s="24" t="str">
        <f aca="false">IF(J17="Yes",IF(I17="Correct","Incorrect","Correct"),I17)</f>
        <v>Incorrect</v>
      </c>
      <c r="L17" s="24" t="str">
        <f aca="false">IF(I17="Incorrect",IF(H17="Incorrect","TP","FN"),IF(H17="Incorrect","FP","TN"))</f>
        <v>TP</v>
      </c>
      <c r="M17" s="24" t="n">
        <f aca="false">IF(H17=I17,1,0)</f>
        <v>1</v>
      </c>
      <c r="N17" s="24" t="n">
        <f aca="false">IF(G17=I17,1,0)</f>
        <v>1</v>
      </c>
      <c r="O17" s="24" t="n">
        <f aca="false">IF(H17=K17,1,0)</f>
        <v>1</v>
      </c>
      <c r="P17" s="24"/>
      <c r="Q17" s="24" t="s">
        <v>79</v>
      </c>
    </row>
    <row r="18" customFormat="false" ht="15" hidden="false" customHeight="false" outlineLevel="0" collapsed="false">
      <c r="A18" s="11" t="s">
        <v>57</v>
      </c>
      <c r="B18" s="11" t="s">
        <v>31</v>
      </c>
      <c r="C18" s="11" t="n">
        <v>2</v>
      </c>
      <c r="D18" s="11" t="n">
        <v>7</v>
      </c>
      <c r="E18" s="25" t="n">
        <v>62.5</v>
      </c>
      <c r="F18" s="25" t="n">
        <v>128.1</v>
      </c>
      <c r="G18" s="11" t="s">
        <v>77</v>
      </c>
      <c r="H18" s="24" t="str">
        <f aca="false">IF(B18="Squat",IF(AND(E18&lt;=Summary!$B$7,OR(F18="",F18&lt;=Summary!$B$8)),"Correct","Incorrect"),IF(AND(E18&lt;=Summary!$B$9,OR(F18="",F18&gt;=Summary!$B$10)),"Correct","Incorrect"))</f>
        <v>Incorrect</v>
      </c>
      <c r="I18" s="26" t="s">
        <v>77</v>
      </c>
      <c r="J18" s="11" t="s">
        <v>78</v>
      </c>
      <c r="K18" s="24" t="str">
        <f aca="false">IF(J18="Yes",IF(I18="Correct","Incorrect","Correct"),I18)</f>
        <v>Incorrect</v>
      </c>
      <c r="L18" s="24" t="str">
        <f aca="false">IF(I18="Incorrect",IF(H18="Incorrect","TP","FN"),IF(H18="Incorrect","FP","TN"))</f>
        <v>TP</v>
      </c>
      <c r="M18" s="24" t="n">
        <f aca="false">IF(H18=I18,1,0)</f>
        <v>1</v>
      </c>
      <c r="N18" s="24" t="n">
        <f aca="false">IF(G18=I18,1,0)</f>
        <v>1</v>
      </c>
      <c r="O18" s="24" t="n">
        <f aca="false">IF(H18=K18,1,0)</f>
        <v>1</v>
      </c>
      <c r="P18" s="24"/>
      <c r="Q18" s="24" t="s">
        <v>79</v>
      </c>
    </row>
    <row r="19" customFormat="false" ht="15" hidden="false" customHeight="false" outlineLevel="0" collapsed="false">
      <c r="A19" s="11" t="s">
        <v>57</v>
      </c>
      <c r="B19" s="11" t="s">
        <v>31</v>
      </c>
      <c r="C19" s="11" t="n">
        <v>2</v>
      </c>
      <c r="D19" s="11" t="n">
        <v>8</v>
      </c>
      <c r="E19" s="25" t="n">
        <v>61.2</v>
      </c>
      <c r="F19" s="25" t="n">
        <v>123.9</v>
      </c>
      <c r="G19" s="11" t="s">
        <v>77</v>
      </c>
      <c r="H19" s="24" t="str">
        <f aca="false">IF(B19="Squat",IF(AND(E19&lt;=Summary!$B$7,OR(F19="",F19&lt;=Summary!$B$8)),"Correct","Incorrect"),IF(AND(E19&lt;=Summary!$B$9,OR(F19="",F19&gt;=Summary!$B$10)),"Correct","Incorrect"))</f>
        <v>Incorrect</v>
      </c>
      <c r="I19" s="26" t="s">
        <v>77</v>
      </c>
      <c r="J19" s="11" t="s">
        <v>78</v>
      </c>
      <c r="K19" s="24" t="str">
        <f aca="false">IF(J19="Yes",IF(I19="Correct","Incorrect","Correct"),I19)</f>
        <v>Incorrect</v>
      </c>
      <c r="L19" s="24" t="str">
        <f aca="false">IF(I19="Incorrect",IF(H19="Incorrect","TP","FN"),IF(H19="Incorrect","FP","TN"))</f>
        <v>TP</v>
      </c>
      <c r="M19" s="24" t="n">
        <f aca="false">IF(H19=I19,1,0)</f>
        <v>1</v>
      </c>
      <c r="N19" s="24" t="n">
        <f aca="false">IF(G19=I19,1,0)</f>
        <v>1</v>
      </c>
      <c r="O19" s="24" t="n">
        <f aca="false">IF(H19=K19,1,0)</f>
        <v>1</v>
      </c>
      <c r="P19" s="24"/>
      <c r="Q19" s="24" t="s">
        <v>79</v>
      </c>
    </row>
    <row r="20" customFormat="false" ht="15" hidden="false" customHeight="false" outlineLevel="0" collapsed="false">
      <c r="A20" s="11" t="s">
        <v>57</v>
      </c>
      <c r="B20" s="11" t="s">
        <v>31</v>
      </c>
      <c r="C20" s="11" t="n">
        <v>2</v>
      </c>
      <c r="D20" s="11" t="n">
        <v>9</v>
      </c>
      <c r="E20" s="25" t="n">
        <v>61.6</v>
      </c>
      <c r="F20" s="25" t="n">
        <v>127.3</v>
      </c>
      <c r="G20" s="11" t="s">
        <v>77</v>
      </c>
      <c r="H20" s="24" t="str">
        <f aca="false">IF(B20="Squat",IF(AND(E20&lt;=Summary!$B$7,OR(F20="",F20&lt;=Summary!$B$8)),"Correct","Incorrect"),IF(AND(E20&lt;=Summary!$B$9,OR(F20="",F20&gt;=Summary!$B$10)),"Correct","Incorrect"))</f>
        <v>Incorrect</v>
      </c>
      <c r="I20" s="26" t="s">
        <v>77</v>
      </c>
      <c r="J20" s="11" t="s">
        <v>78</v>
      </c>
      <c r="K20" s="24" t="str">
        <f aca="false">IF(J20="Yes",IF(I20="Correct","Incorrect","Correct"),I20)</f>
        <v>Incorrect</v>
      </c>
      <c r="L20" s="24" t="str">
        <f aca="false">IF(I20="Incorrect",IF(H20="Incorrect","TP","FN"),IF(H20="Incorrect","FP","TN"))</f>
        <v>TP</v>
      </c>
      <c r="M20" s="24" t="n">
        <f aca="false">IF(H20=I20,1,0)</f>
        <v>1</v>
      </c>
      <c r="N20" s="24" t="n">
        <f aca="false">IF(G20=I20,1,0)</f>
        <v>1</v>
      </c>
      <c r="O20" s="24" t="n">
        <f aca="false">IF(H20=K20,1,0)</f>
        <v>1</v>
      </c>
      <c r="P20" s="24"/>
      <c r="Q20" s="24" t="s">
        <v>79</v>
      </c>
    </row>
    <row r="21" customFormat="false" ht="15" hidden="false" customHeight="false" outlineLevel="0" collapsed="false">
      <c r="A21" s="11" t="s">
        <v>57</v>
      </c>
      <c r="B21" s="11" t="s">
        <v>31</v>
      </c>
      <c r="C21" s="11" t="n">
        <v>2</v>
      </c>
      <c r="D21" s="11" t="n">
        <v>10</v>
      </c>
      <c r="E21" s="25" t="n">
        <v>63.9</v>
      </c>
      <c r="F21" s="25" t="n">
        <v>121.6</v>
      </c>
      <c r="G21" s="11" t="s">
        <v>77</v>
      </c>
      <c r="H21" s="24" t="str">
        <f aca="false">IF(B21="Squat",IF(AND(E21&lt;=Summary!$B$7,OR(F21="",F21&lt;=Summary!$B$8)),"Correct","Incorrect"),IF(AND(E21&lt;=Summary!$B$9,OR(F21="",F21&gt;=Summary!$B$10)),"Correct","Incorrect"))</f>
        <v>Incorrect</v>
      </c>
      <c r="I21" s="26" t="s">
        <v>77</v>
      </c>
      <c r="J21" s="11" t="s">
        <v>78</v>
      </c>
      <c r="K21" s="24" t="str">
        <f aca="false">IF(J21="Yes",IF(I21="Correct","Incorrect","Correct"),I21)</f>
        <v>Incorrect</v>
      </c>
      <c r="L21" s="24" t="str">
        <f aca="false">IF(I21="Incorrect",IF(H21="Incorrect","TP","FN"),IF(H21="Incorrect","FP","TN"))</f>
        <v>TP</v>
      </c>
      <c r="M21" s="24" t="n">
        <f aca="false">IF(H21=I21,1,0)</f>
        <v>1</v>
      </c>
      <c r="N21" s="24" t="n">
        <f aca="false">IF(G21=I21,1,0)</f>
        <v>1</v>
      </c>
      <c r="O21" s="24" t="n">
        <f aca="false">IF(H21=K21,1,0)</f>
        <v>1</v>
      </c>
      <c r="P21" s="24"/>
      <c r="Q21" s="24" t="s">
        <v>79</v>
      </c>
    </row>
    <row r="22" customFormat="false" ht="15" hidden="false" customHeight="false" outlineLevel="0" collapsed="false">
      <c r="A22" s="11" t="s">
        <v>57</v>
      </c>
      <c r="B22" s="11" t="s">
        <v>31</v>
      </c>
      <c r="C22" s="11" t="n">
        <v>3</v>
      </c>
      <c r="D22" s="11" t="n">
        <v>1</v>
      </c>
      <c r="E22" s="25" t="n">
        <v>67.9</v>
      </c>
      <c r="F22" s="25" t="n">
        <v>116.4</v>
      </c>
      <c r="G22" s="11" t="s">
        <v>77</v>
      </c>
      <c r="H22" s="24" t="str">
        <f aca="false">IF(B22="Squat",IF(AND(E22&lt;=Summary!$B$7,OR(F22="",F22&lt;=Summary!$B$8)),"Correct","Incorrect"),IF(AND(E22&lt;=Summary!$B$9,OR(F22="",F22&gt;=Summary!$B$10)),"Correct","Incorrect"))</f>
        <v>Incorrect</v>
      </c>
      <c r="I22" s="26" t="s">
        <v>77</v>
      </c>
      <c r="J22" s="11" t="s">
        <v>78</v>
      </c>
      <c r="K22" s="24" t="str">
        <f aca="false">IF(J22="Yes",IF(I22="Correct","Incorrect","Correct"),I22)</f>
        <v>Incorrect</v>
      </c>
      <c r="L22" s="24" t="str">
        <f aca="false">IF(I22="Incorrect",IF(H22="Incorrect","TP","FN"),IF(H22="Incorrect","FP","TN"))</f>
        <v>TP</v>
      </c>
      <c r="M22" s="24" t="n">
        <f aca="false">IF(H22=I22,1,0)</f>
        <v>1</v>
      </c>
      <c r="N22" s="24" t="n">
        <f aca="false">IF(G22=I22,1,0)</f>
        <v>1</v>
      </c>
      <c r="O22" s="24" t="n">
        <f aca="false">IF(H22=K22,1,0)</f>
        <v>1</v>
      </c>
      <c r="P22" s="24"/>
      <c r="Q22" s="24" t="s">
        <v>79</v>
      </c>
    </row>
    <row r="23" customFormat="false" ht="15" hidden="false" customHeight="false" outlineLevel="0" collapsed="false">
      <c r="A23" s="11" t="s">
        <v>57</v>
      </c>
      <c r="B23" s="11" t="s">
        <v>31</v>
      </c>
      <c r="C23" s="11" t="n">
        <v>3</v>
      </c>
      <c r="D23" s="11" t="n">
        <v>2</v>
      </c>
      <c r="E23" s="25" t="n">
        <v>70.1</v>
      </c>
      <c r="F23" s="25" t="n">
        <v>113.2</v>
      </c>
      <c r="G23" s="11" t="s">
        <v>77</v>
      </c>
      <c r="H23" s="24" t="str">
        <f aca="false">IF(B23="Squat",IF(AND(E23&lt;=Summary!$B$7,OR(F23="",F23&lt;=Summary!$B$8)),"Correct","Incorrect"),IF(AND(E23&lt;=Summary!$B$9,OR(F23="",F23&gt;=Summary!$B$10)),"Correct","Incorrect"))</f>
        <v>Incorrect</v>
      </c>
      <c r="I23" s="26" t="s">
        <v>77</v>
      </c>
      <c r="J23" s="11" t="s">
        <v>78</v>
      </c>
      <c r="K23" s="24" t="str">
        <f aca="false">IF(J23="Yes",IF(I23="Correct","Incorrect","Correct"),I23)</f>
        <v>Incorrect</v>
      </c>
      <c r="L23" s="24" t="str">
        <f aca="false">IF(I23="Incorrect",IF(H23="Incorrect","TP","FN"),IF(H23="Incorrect","FP","TN"))</f>
        <v>TP</v>
      </c>
      <c r="M23" s="24" t="n">
        <f aca="false">IF(H23=I23,1,0)</f>
        <v>1</v>
      </c>
      <c r="N23" s="24" t="n">
        <f aca="false">IF(G23=I23,1,0)</f>
        <v>1</v>
      </c>
      <c r="O23" s="24" t="n">
        <f aca="false">IF(H23=K23,1,0)</f>
        <v>1</v>
      </c>
      <c r="P23" s="24"/>
      <c r="Q23" s="24" t="s">
        <v>79</v>
      </c>
    </row>
    <row r="24" customFormat="false" ht="15" hidden="false" customHeight="false" outlineLevel="0" collapsed="false">
      <c r="A24" s="11" t="s">
        <v>57</v>
      </c>
      <c r="B24" s="11" t="s">
        <v>31</v>
      </c>
      <c r="C24" s="11" t="n">
        <v>3</v>
      </c>
      <c r="D24" s="11" t="n">
        <v>3</v>
      </c>
      <c r="E24" s="25" t="n">
        <v>64.3</v>
      </c>
      <c r="F24" s="25" t="n">
        <v>119</v>
      </c>
      <c r="G24" s="11" t="s">
        <v>77</v>
      </c>
      <c r="H24" s="24" t="str">
        <f aca="false">IF(B24="Squat",IF(AND(E24&lt;=Summary!$B$7,OR(F24="",F24&lt;=Summary!$B$8)),"Correct","Incorrect"),IF(AND(E24&lt;=Summary!$B$9,OR(F24="",F24&gt;=Summary!$B$10)),"Correct","Incorrect"))</f>
        <v>Incorrect</v>
      </c>
      <c r="I24" s="26" t="s">
        <v>77</v>
      </c>
      <c r="J24" s="11" t="s">
        <v>78</v>
      </c>
      <c r="K24" s="24" t="str">
        <f aca="false">IF(J24="Yes",IF(I24="Correct","Incorrect","Correct"),I24)</f>
        <v>Incorrect</v>
      </c>
      <c r="L24" s="24" t="str">
        <f aca="false">IF(I24="Incorrect",IF(H24="Incorrect","TP","FN"),IF(H24="Incorrect","FP","TN"))</f>
        <v>TP</v>
      </c>
      <c r="M24" s="24" t="n">
        <f aca="false">IF(H24=I24,1,0)</f>
        <v>1</v>
      </c>
      <c r="N24" s="24" t="n">
        <f aca="false">IF(G24=I24,1,0)</f>
        <v>1</v>
      </c>
      <c r="O24" s="24" t="n">
        <f aca="false">IF(H24=K24,1,0)</f>
        <v>1</v>
      </c>
      <c r="P24" s="24"/>
      <c r="Q24" s="24" t="s">
        <v>79</v>
      </c>
    </row>
    <row r="25" customFormat="false" ht="15" hidden="false" customHeight="false" outlineLevel="0" collapsed="false">
      <c r="A25" s="11" t="s">
        <v>57</v>
      </c>
      <c r="B25" s="11" t="s">
        <v>31</v>
      </c>
      <c r="C25" s="11" t="n">
        <v>3</v>
      </c>
      <c r="D25" s="11" t="n">
        <v>4</v>
      </c>
      <c r="E25" s="25" t="n">
        <v>62.2</v>
      </c>
      <c r="F25" s="25" t="n">
        <v>110.3</v>
      </c>
      <c r="G25" s="11" t="s">
        <v>77</v>
      </c>
      <c r="H25" s="24" t="str">
        <f aca="false">IF(B25="Squat",IF(AND(E25&lt;=Summary!$B$7,OR(F25="",F25&lt;=Summary!$B$8)),"Correct","Incorrect"),IF(AND(E25&lt;=Summary!$B$9,OR(F25="",F25&gt;=Summary!$B$10)),"Correct","Incorrect"))</f>
        <v>Incorrect</v>
      </c>
      <c r="I25" s="26" t="s">
        <v>77</v>
      </c>
      <c r="J25" s="11" t="s">
        <v>78</v>
      </c>
      <c r="K25" s="24" t="str">
        <f aca="false">IF(J25="Yes",IF(I25="Correct","Incorrect","Correct"),I25)</f>
        <v>Incorrect</v>
      </c>
      <c r="L25" s="24" t="str">
        <f aca="false">IF(I25="Incorrect",IF(H25="Incorrect","TP","FN"),IF(H25="Incorrect","FP","TN"))</f>
        <v>TP</v>
      </c>
      <c r="M25" s="24" t="n">
        <f aca="false">IF(H25=I25,1,0)</f>
        <v>1</v>
      </c>
      <c r="N25" s="24" t="n">
        <f aca="false">IF(G25=I25,1,0)</f>
        <v>1</v>
      </c>
      <c r="O25" s="24" t="n">
        <f aca="false">IF(H25=K25,1,0)</f>
        <v>1</v>
      </c>
      <c r="P25" s="24"/>
      <c r="Q25" s="24" t="s">
        <v>79</v>
      </c>
    </row>
    <row r="26" customFormat="false" ht="15" hidden="false" customHeight="false" outlineLevel="0" collapsed="false">
      <c r="A26" s="11" t="s">
        <v>57</v>
      </c>
      <c r="B26" s="11" t="s">
        <v>31</v>
      </c>
      <c r="C26" s="11" t="n">
        <v>3</v>
      </c>
      <c r="D26" s="11" t="n">
        <v>5</v>
      </c>
      <c r="E26" s="25" t="n">
        <v>54.8</v>
      </c>
      <c r="F26" s="25" t="n">
        <v>114.1</v>
      </c>
      <c r="G26" s="11" t="s">
        <v>77</v>
      </c>
      <c r="H26" s="24" t="str">
        <f aca="false">IF(B26="Squat",IF(AND(E26&lt;=Summary!$B$7,OR(F26="",F26&lt;=Summary!$B$8)),"Correct","Incorrect"),IF(AND(E26&lt;=Summary!$B$9,OR(F26="",F26&gt;=Summary!$B$10)),"Correct","Incorrect"))</f>
        <v>Incorrect</v>
      </c>
      <c r="I26" s="26" t="s">
        <v>77</v>
      </c>
      <c r="J26" s="11" t="s">
        <v>78</v>
      </c>
      <c r="K26" s="24" t="str">
        <f aca="false">IF(J26="Yes",IF(I26="Correct","Incorrect","Correct"),I26)</f>
        <v>Incorrect</v>
      </c>
      <c r="L26" s="24" t="str">
        <f aca="false">IF(I26="Incorrect",IF(H26="Incorrect","TP","FN"),IF(H26="Incorrect","FP","TN"))</f>
        <v>TP</v>
      </c>
      <c r="M26" s="24" t="n">
        <f aca="false">IF(H26=I26,1,0)</f>
        <v>1</v>
      </c>
      <c r="N26" s="24" t="n">
        <f aca="false">IF(G26=I26,1,0)</f>
        <v>1</v>
      </c>
      <c r="O26" s="24" t="n">
        <f aca="false">IF(H26=K26,1,0)</f>
        <v>1</v>
      </c>
      <c r="P26" s="24"/>
      <c r="Q26" s="24" t="s">
        <v>79</v>
      </c>
    </row>
    <row r="27" customFormat="false" ht="15" hidden="false" customHeight="false" outlineLevel="0" collapsed="false">
      <c r="A27" s="11" t="s">
        <v>57</v>
      </c>
      <c r="B27" s="11" t="s">
        <v>31</v>
      </c>
      <c r="C27" s="11" t="n">
        <v>3</v>
      </c>
      <c r="D27" s="11" t="n">
        <v>6</v>
      </c>
      <c r="E27" s="25" t="n">
        <v>54.9</v>
      </c>
      <c r="F27" s="25" t="n">
        <v>115.2</v>
      </c>
      <c r="G27" s="11" t="s">
        <v>77</v>
      </c>
      <c r="H27" s="24" t="str">
        <f aca="false">IF(B27="Squat",IF(AND(E27&lt;=Summary!$B$7,OR(F27="",F27&lt;=Summary!$B$8)),"Correct","Incorrect"),IF(AND(E27&lt;=Summary!$B$9,OR(F27="",F27&gt;=Summary!$B$10)),"Correct","Incorrect"))</f>
        <v>Incorrect</v>
      </c>
      <c r="I27" s="26" t="s">
        <v>77</v>
      </c>
      <c r="J27" s="11" t="s">
        <v>78</v>
      </c>
      <c r="K27" s="24" t="str">
        <f aca="false">IF(J27="Yes",IF(I27="Correct","Incorrect","Correct"),I27)</f>
        <v>Incorrect</v>
      </c>
      <c r="L27" s="24" t="str">
        <f aca="false">IF(I27="Incorrect",IF(H27="Incorrect","TP","FN"),IF(H27="Incorrect","FP","TN"))</f>
        <v>TP</v>
      </c>
      <c r="M27" s="24" t="n">
        <f aca="false">IF(H27=I27,1,0)</f>
        <v>1</v>
      </c>
      <c r="N27" s="24" t="n">
        <f aca="false">IF(G27=I27,1,0)</f>
        <v>1</v>
      </c>
      <c r="O27" s="24" t="n">
        <f aca="false">IF(H27=K27,1,0)</f>
        <v>1</v>
      </c>
      <c r="P27" s="24"/>
      <c r="Q27" s="24" t="s">
        <v>79</v>
      </c>
    </row>
    <row r="28" customFormat="false" ht="15" hidden="false" customHeight="false" outlineLevel="0" collapsed="false">
      <c r="A28" s="11" t="s">
        <v>57</v>
      </c>
      <c r="B28" s="11" t="s">
        <v>31</v>
      </c>
      <c r="C28" s="11" t="n">
        <v>3</v>
      </c>
      <c r="D28" s="11" t="n">
        <v>7</v>
      </c>
      <c r="E28" s="25" t="n">
        <v>63.3</v>
      </c>
      <c r="F28" s="25" t="n">
        <v>117.6</v>
      </c>
      <c r="G28" s="11" t="s">
        <v>77</v>
      </c>
      <c r="H28" s="24" t="str">
        <f aca="false">IF(B28="Squat",IF(AND(E28&lt;=Summary!$B$7,OR(F28="",F28&lt;=Summary!$B$8)),"Correct","Incorrect"),IF(AND(E28&lt;=Summary!$B$9,OR(F28="",F28&gt;=Summary!$B$10)),"Correct","Incorrect"))</f>
        <v>Incorrect</v>
      </c>
      <c r="I28" s="26" t="s">
        <v>77</v>
      </c>
      <c r="J28" s="11" t="s">
        <v>78</v>
      </c>
      <c r="K28" s="24" t="str">
        <f aca="false">IF(J28="Yes",IF(I28="Correct","Incorrect","Correct"),I28)</f>
        <v>Incorrect</v>
      </c>
      <c r="L28" s="24" t="str">
        <f aca="false">IF(I28="Incorrect",IF(H28="Incorrect","TP","FN"),IF(H28="Incorrect","FP","TN"))</f>
        <v>TP</v>
      </c>
      <c r="M28" s="24" t="n">
        <f aca="false">IF(H28=I28,1,0)</f>
        <v>1</v>
      </c>
      <c r="N28" s="24" t="n">
        <f aca="false">IF(G28=I28,1,0)</f>
        <v>1</v>
      </c>
      <c r="O28" s="24" t="n">
        <f aca="false">IF(H28=K28,1,0)</f>
        <v>1</v>
      </c>
      <c r="P28" s="24"/>
      <c r="Q28" s="24" t="s">
        <v>79</v>
      </c>
    </row>
    <row r="29" customFormat="false" ht="15" hidden="false" customHeight="false" outlineLevel="0" collapsed="false">
      <c r="A29" s="11" t="s">
        <v>57</v>
      </c>
      <c r="B29" s="11" t="s">
        <v>31</v>
      </c>
      <c r="C29" s="11" t="n">
        <v>3</v>
      </c>
      <c r="D29" s="11" t="n">
        <v>8</v>
      </c>
      <c r="E29" s="25" t="n">
        <v>55.2</v>
      </c>
      <c r="F29" s="25" t="n">
        <v>115.1</v>
      </c>
      <c r="G29" s="11" t="s">
        <v>77</v>
      </c>
      <c r="H29" s="24" t="str">
        <f aca="false">IF(B29="Squat",IF(AND(E29&lt;=Summary!$B$7,OR(F29="",F29&lt;=Summary!$B$8)),"Correct","Incorrect"),IF(AND(E29&lt;=Summary!$B$9,OR(F29="",F29&gt;=Summary!$B$10)),"Correct","Incorrect"))</f>
        <v>Incorrect</v>
      </c>
      <c r="I29" s="26" t="s">
        <v>77</v>
      </c>
      <c r="J29" s="11" t="s">
        <v>78</v>
      </c>
      <c r="K29" s="24" t="str">
        <f aca="false">IF(J29="Yes",IF(I29="Correct","Incorrect","Correct"),I29)</f>
        <v>Incorrect</v>
      </c>
      <c r="L29" s="24" t="str">
        <f aca="false">IF(I29="Incorrect",IF(H29="Incorrect","TP","FN"),IF(H29="Incorrect","FP","TN"))</f>
        <v>TP</v>
      </c>
      <c r="M29" s="24" t="n">
        <f aca="false">IF(H29=I29,1,0)</f>
        <v>1</v>
      </c>
      <c r="N29" s="24" t="n">
        <f aca="false">IF(G29=I29,1,0)</f>
        <v>1</v>
      </c>
      <c r="O29" s="24" t="n">
        <f aca="false">IF(H29=K29,1,0)</f>
        <v>1</v>
      </c>
      <c r="P29" s="24"/>
      <c r="Q29" s="24" t="s">
        <v>79</v>
      </c>
    </row>
    <row r="30" customFormat="false" ht="15" hidden="false" customHeight="false" outlineLevel="0" collapsed="false">
      <c r="A30" s="11" t="s">
        <v>57</v>
      </c>
      <c r="B30" s="11" t="s">
        <v>31</v>
      </c>
      <c r="C30" s="11" t="n">
        <v>3</v>
      </c>
      <c r="D30" s="11" t="n">
        <v>9</v>
      </c>
      <c r="E30" s="25" t="n">
        <v>55.7</v>
      </c>
      <c r="F30" s="25" t="n">
        <v>115.8</v>
      </c>
      <c r="G30" s="11" t="s">
        <v>77</v>
      </c>
      <c r="H30" s="24" t="str">
        <f aca="false">IF(B30="Squat",IF(AND(E30&lt;=Summary!$B$7,OR(F30="",F30&lt;=Summary!$B$8)),"Correct","Incorrect"),IF(AND(E30&lt;=Summary!$B$9,OR(F30="",F30&gt;=Summary!$B$10)),"Correct","Incorrect"))</f>
        <v>Incorrect</v>
      </c>
      <c r="I30" s="26" t="s">
        <v>77</v>
      </c>
      <c r="J30" s="11" t="s">
        <v>78</v>
      </c>
      <c r="K30" s="24" t="str">
        <f aca="false">IF(J30="Yes",IF(I30="Correct","Incorrect","Correct"),I30)</f>
        <v>Incorrect</v>
      </c>
      <c r="L30" s="24" t="str">
        <f aca="false">IF(I30="Incorrect",IF(H30="Incorrect","TP","FN"),IF(H30="Incorrect","FP","TN"))</f>
        <v>TP</v>
      </c>
      <c r="M30" s="24" t="n">
        <f aca="false">IF(H30=I30,1,0)</f>
        <v>1</v>
      </c>
      <c r="N30" s="24" t="n">
        <f aca="false">IF(G30=I30,1,0)</f>
        <v>1</v>
      </c>
      <c r="O30" s="24" t="n">
        <f aca="false">IF(H30=K30,1,0)</f>
        <v>1</v>
      </c>
      <c r="P30" s="24"/>
      <c r="Q30" s="24" t="s">
        <v>79</v>
      </c>
    </row>
    <row r="31" customFormat="false" ht="15" hidden="false" customHeight="false" outlineLevel="0" collapsed="false">
      <c r="A31" s="11" t="s">
        <v>57</v>
      </c>
      <c r="B31" s="11" t="s">
        <v>31</v>
      </c>
      <c r="C31" s="11" t="n">
        <v>3</v>
      </c>
      <c r="D31" s="11" t="n">
        <v>10</v>
      </c>
      <c r="E31" s="25" t="n">
        <v>52.6</v>
      </c>
      <c r="F31" s="25" t="n">
        <v>114</v>
      </c>
      <c r="G31" s="11" t="s">
        <v>77</v>
      </c>
      <c r="H31" s="24" t="str">
        <f aca="false">IF(B31="Squat",IF(AND(E31&lt;=Summary!$B$7,OR(F31="",F31&lt;=Summary!$B$8)),"Correct","Incorrect"),IF(AND(E31&lt;=Summary!$B$9,OR(F31="",F31&gt;=Summary!$B$10)),"Correct","Incorrect"))</f>
        <v>Incorrect</v>
      </c>
      <c r="I31" s="26" t="s">
        <v>77</v>
      </c>
      <c r="J31" s="11" t="s">
        <v>78</v>
      </c>
      <c r="K31" s="24" t="str">
        <f aca="false">IF(J31="Yes",IF(I31="Correct","Incorrect","Correct"),I31)</f>
        <v>Incorrect</v>
      </c>
      <c r="L31" s="24" t="str">
        <f aca="false">IF(I31="Incorrect",IF(H31="Incorrect","TP","FN"),IF(H31="Incorrect","FP","TN"))</f>
        <v>TP</v>
      </c>
      <c r="M31" s="24" t="n">
        <f aca="false">IF(H31=I31,1,0)</f>
        <v>1</v>
      </c>
      <c r="N31" s="24" t="n">
        <f aca="false">IF(G31=I31,1,0)</f>
        <v>1</v>
      </c>
      <c r="O31" s="24" t="n">
        <f aca="false">IF(H31=K31,1,0)</f>
        <v>1</v>
      </c>
      <c r="P31" s="24"/>
      <c r="Q31" s="24" t="s">
        <v>79</v>
      </c>
    </row>
    <row r="32" customFormat="false" ht="15" hidden="false" customHeight="false" outlineLevel="0" collapsed="false">
      <c r="A32" s="11" t="s">
        <v>58</v>
      </c>
      <c r="B32" s="11" t="s">
        <v>31</v>
      </c>
      <c r="C32" s="11" t="n">
        <v>1</v>
      </c>
      <c r="D32" s="11" t="n">
        <v>1</v>
      </c>
      <c r="E32" s="25" t="n">
        <v>57.8</v>
      </c>
      <c r="F32" s="25" t="n">
        <v>170.4</v>
      </c>
      <c r="G32" s="11" t="s">
        <v>80</v>
      </c>
      <c r="H32" s="24" t="str">
        <f aca="false">IF(B32="Squat",IF(AND(E32&lt;=Summary!$B$7,OR(F32="",F32&lt;=Summary!$B$8)),"Correct","Incorrect"),IF(AND(E32&lt;=Summary!$B$9,OR(F32="",F32&gt;=Summary!$B$10)),"Correct","Incorrect"))</f>
        <v>Correct</v>
      </c>
      <c r="I32" s="26" t="s">
        <v>80</v>
      </c>
      <c r="J32" s="11" t="s">
        <v>78</v>
      </c>
      <c r="K32" s="24" t="str">
        <f aca="false">IF(J32="Yes",IF(I32="Correct","Incorrect","Correct"),I32)</f>
        <v>Correct</v>
      </c>
      <c r="L32" s="24" t="str">
        <f aca="false">IF(I32="Incorrect",IF(H32="Incorrect","TP","FN"),IF(H32="Incorrect","FP","TN"))</f>
        <v>TN</v>
      </c>
      <c r="M32" s="24" t="n">
        <f aca="false">IF(H32=I32,1,0)</f>
        <v>1</v>
      </c>
      <c r="N32" s="24" t="n">
        <f aca="false">IF(G32=I32,1,0)</f>
        <v>1</v>
      </c>
      <c r="O32" s="24" t="n">
        <f aca="false">IF(H32=K32,1,0)</f>
        <v>1</v>
      </c>
      <c r="P32" s="24"/>
      <c r="Q32" s="24" t="s">
        <v>81</v>
      </c>
    </row>
    <row r="33" customFormat="false" ht="15" hidden="false" customHeight="false" outlineLevel="0" collapsed="false">
      <c r="A33" s="11" t="s">
        <v>58</v>
      </c>
      <c r="B33" s="11" t="s">
        <v>31</v>
      </c>
      <c r="C33" s="11" t="n">
        <v>1</v>
      </c>
      <c r="D33" s="11" t="n">
        <v>2</v>
      </c>
      <c r="E33" s="25" t="n">
        <v>53.5</v>
      </c>
      <c r="F33" s="25" t="n">
        <v>174.5</v>
      </c>
      <c r="G33" s="11" t="s">
        <v>80</v>
      </c>
      <c r="H33" s="24" t="str">
        <f aca="false">IF(B33="Squat",IF(AND(E33&lt;=Summary!$B$7,OR(F33="",F33&lt;=Summary!$B$8)),"Correct","Incorrect"),IF(AND(E33&lt;=Summary!$B$9,OR(F33="",F33&gt;=Summary!$B$10)),"Correct","Incorrect"))</f>
        <v>Correct</v>
      </c>
      <c r="I33" s="26" t="s">
        <v>80</v>
      </c>
      <c r="J33" s="11" t="s">
        <v>78</v>
      </c>
      <c r="K33" s="24" t="str">
        <f aca="false">IF(J33="Yes",IF(I33="Correct","Incorrect","Correct"),I33)</f>
        <v>Correct</v>
      </c>
      <c r="L33" s="24" t="str">
        <f aca="false">IF(I33="Incorrect",IF(H33="Incorrect","TP","FN"),IF(H33="Incorrect","FP","TN"))</f>
        <v>TN</v>
      </c>
      <c r="M33" s="24" t="n">
        <f aca="false">IF(H33=I33,1,0)</f>
        <v>1</v>
      </c>
      <c r="N33" s="24" t="n">
        <f aca="false">IF(G33=I33,1,0)</f>
        <v>1</v>
      </c>
      <c r="O33" s="24" t="n">
        <f aca="false">IF(H33=K33,1,0)</f>
        <v>1</v>
      </c>
      <c r="P33" s="24"/>
      <c r="Q33" s="24" t="s">
        <v>81</v>
      </c>
    </row>
    <row r="34" customFormat="false" ht="15" hidden="false" customHeight="false" outlineLevel="0" collapsed="false">
      <c r="A34" s="11" t="s">
        <v>58</v>
      </c>
      <c r="B34" s="11" t="s">
        <v>31</v>
      </c>
      <c r="C34" s="11" t="n">
        <v>1</v>
      </c>
      <c r="D34" s="11" t="n">
        <v>3</v>
      </c>
      <c r="E34" s="25" t="n">
        <v>57.8</v>
      </c>
      <c r="F34" s="25" t="n">
        <v>175.3</v>
      </c>
      <c r="G34" s="11" t="s">
        <v>80</v>
      </c>
      <c r="H34" s="24" t="str">
        <f aca="false">IF(B34="Squat",IF(AND(E34&lt;=Summary!$B$7,OR(F34="",F34&lt;=Summary!$B$8)),"Correct","Incorrect"),IF(AND(E34&lt;=Summary!$B$9,OR(F34="",F34&gt;=Summary!$B$10)),"Correct","Incorrect"))</f>
        <v>Correct</v>
      </c>
      <c r="I34" s="26" t="s">
        <v>80</v>
      </c>
      <c r="J34" s="11" t="s">
        <v>78</v>
      </c>
      <c r="K34" s="24" t="str">
        <f aca="false">IF(J34="Yes",IF(I34="Correct","Incorrect","Correct"),I34)</f>
        <v>Correct</v>
      </c>
      <c r="L34" s="24" t="str">
        <f aca="false">IF(I34="Incorrect",IF(H34="Incorrect","TP","FN"),IF(H34="Incorrect","FP","TN"))</f>
        <v>TN</v>
      </c>
      <c r="M34" s="24" t="n">
        <f aca="false">IF(H34=I34,1,0)</f>
        <v>1</v>
      </c>
      <c r="N34" s="24" t="n">
        <f aca="false">IF(G34=I34,1,0)</f>
        <v>1</v>
      </c>
      <c r="O34" s="24" t="n">
        <f aca="false">IF(H34=K34,1,0)</f>
        <v>1</v>
      </c>
      <c r="P34" s="24"/>
      <c r="Q34" s="24" t="s">
        <v>81</v>
      </c>
    </row>
    <row r="35" customFormat="false" ht="15" hidden="false" customHeight="false" outlineLevel="0" collapsed="false">
      <c r="A35" s="11" t="s">
        <v>58</v>
      </c>
      <c r="B35" s="11" t="s">
        <v>31</v>
      </c>
      <c r="C35" s="11" t="n">
        <v>1</v>
      </c>
      <c r="D35" s="11" t="n">
        <v>4</v>
      </c>
      <c r="E35" s="25" t="n">
        <v>56.3</v>
      </c>
      <c r="F35" s="25" t="n">
        <v>175</v>
      </c>
      <c r="G35" s="11" t="s">
        <v>80</v>
      </c>
      <c r="H35" s="24" t="str">
        <f aca="false">IF(B35="Squat",IF(AND(E35&lt;=Summary!$B$7,OR(F35="",F35&lt;=Summary!$B$8)),"Correct","Incorrect"),IF(AND(E35&lt;=Summary!$B$9,OR(F35="",F35&gt;=Summary!$B$10)),"Correct","Incorrect"))</f>
        <v>Correct</v>
      </c>
      <c r="I35" s="26" t="s">
        <v>80</v>
      </c>
      <c r="J35" s="11" t="s">
        <v>78</v>
      </c>
      <c r="K35" s="24" t="str">
        <f aca="false">IF(J35="Yes",IF(I35="Correct","Incorrect","Correct"),I35)</f>
        <v>Correct</v>
      </c>
      <c r="L35" s="24" t="str">
        <f aca="false">IF(I35="Incorrect",IF(H35="Incorrect","TP","FN"),IF(H35="Incorrect","FP","TN"))</f>
        <v>TN</v>
      </c>
      <c r="M35" s="24" t="n">
        <f aca="false">IF(H35=I35,1,0)</f>
        <v>1</v>
      </c>
      <c r="N35" s="24" t="n">
        <f aca="false">IF(G35=I35,1,0)</f>
        <v>1</v>
      </c>
      <c r="O35" s="24" t="n">
        <f aca="false">IF(H35=K35,1,0)</f>
        <v>1</v>
      </c>
      <c r="P35" s="24"/>
      <c r="Q35" s="24" t="s">
        <v>81</v>
      </c>
    </row>
    <row r="36" customFormat="false" ht="15" hidden="false" customHeight="false" outlineLevel="0" collapsed="false">
      <c r="A36" s="11" t="s">
        <v>58</v>
      </c>
      <c r="B36" s="11" t="s">
        <v>31</v>
      </c>
      <c r="C36" s="11" t="n">
        <v>1</v>
      </c>
      <c r="D36" s="11" t="n">
        <v>5</v>
      </c>
      <c r="E36" s="25" t="n">
        <v>56.4</v>
      </c>
      <c r="F36" s="25" t="n">
        <v>173.5</v>
      </c>
      <c r="G36" s="11" t="s">
        <v>80</v>
      </c>
      <c r="H36" s="24" t="str">
        <f aca="false">IF(B36="Squat",IF(AND(E36&lt;=Summary!$B$7,OR(F36="",F36&lt;=Summary!$B$8)),"Correct","Incorrect"),IF(AND(E36&lt;=Summary!$B$9,OR(F36="",F36&gt;=Summary!$B$10)),"Correct","Incorrect"))</f>
        <v>Correct</v>
      </c>
      <c r="I36" s="26" t="s">
        <v>80</v>
      </c>
      <c r="J36" s="11" t="s">
        <v>78</v>
      </c>
      <c r="K36" s="24" t="str">
        <f aca="false">IF(J36="Yes",IF(I36="Correct","Incorrect","Correct"),I36)</f>
        <v>Correct</v>
      </c>
      <c r="L36" s="24" t="str">
        <f aca="false">IF(I36="Incorrect",IF(H36="Incorrect","TP","FN"),IF(H36="Incorrect","FP","TN"))</f>
        <v>TN</v>
      </c>
      <c r="M36" s="24" t="n">
        <f aca="false">IF(H36=I36,1,0)</f>
        <v>1</v>
      </c>
      <c r="N36" s="24" t="n">
        <f aca="false">IF(G36=I36,1,0)</f>
        <v>1</v>
      </c>
      <c r="O36" s="24" t="n">
        <f aca="false">IF(H36=K36,1,0)</f>
        <v>1</v>
      </c>
      <c r="P36" s="24"/>
      <c r="Q36" s="24" t="s">
        <v>81</v>
      </c>
    </row>
    <row r="37" customFormat="false" ht="15" hidden="false" customHeight="false" outlineLevel="0" collapsed="false">
      <c r="A37" s="11" t="s">
        <v>58</v>
      </c>
      <c r="B37" s="11" t="s">
        <v>31</v>
      </c>
      <c r="C37" s="11" t="n">
        <v>1</v>
      </c>
      <c r="D37" s="11" t="n">
        <v>6</v>
      </c>
      <c r="E37" s="25" t="n">
        <v>58</v>
      </c>
      <c r="F37" s="25" t="n">
        <v>173</v>
      </c>
      <c r="G37" s="11" t="s">
        <v>80</v>
      </c>
      <c r="H37" s="24" t="str">
        <f aca="false">IF(B37="Squat",IF(AND(E37&lt;=Summary!$B$7,OR(F37="",F37&lt;=Summary!$B$8)),"Correct","Incorrect"),IF(AND(E37&lt;=Summary!$B$9,OR(F37="",F37&gt;=Summary!$B$10)),"Correct","Incorrect"))</f>
        <v>Correct</v>
      </c>
      <c r="I37" s="26" t="s">
        <v>80</v>
      </c>
      <c r="J37" s="11" t="s">
        <v>78</v>
      </c>
      <c r="K37" s="24" t="str">
        <f aca="false">IF(J37="Yes",IF(I37="Correct","Incorrect","Correct"),I37)</f>
        <v>Correct</v>
      </c>
      <c r="L37" s="24" t="str">
        <f aca="false">IF(I37="Incorrect",IF(H37="Incorrect","TP","FN"),IF(H37="Incorrect","FP","TN"))</f>
        <v>TN</v>
      </c>
      <c r="M37" s="24" t="n">
        <f aca="false">IF(H37=I37,1,0)</f>
        <v>1</v>
      </c>
      <c r="N37" s="24" t="n">
        <f aca="false">IF(G37=I37,1,0)</f>
        <v>1</v>
      </c>
      <c r="O37" s="24" t="n">
        <f aca="false">IF(H37=K37,1,0)</f>
        <v>1</v>
      </c>
      <c r="P37" s="24"/>
      <c r="Q37" s="24" t="s">
        <v>81</v>
      </c>
    </row>
    <row r="38" customFormat="false" ht="15" hidden="false" customHeight="false" outlineLevel="0" collapsed="false">
      <c r="A38" s="11" t="s">
        <v>58</v>
      </c>
      <c r="B38" s="11" t="s">
        <v>31</v>
      </c>
      <c r="C38" s="11" t="n">
        <v>1</v>
      </c>
      <c r="D38" s="11" t="n">
        <v>7</v>
      </c>
      <c r="E38" s="25" t="n">
        <v>63.2</v>
      </c>
      <c r="F38" s="25" t="n">
        <v>172.1</v>
      </c>
      <c r="G38" s="11" t="s">
        <v>80</v>
      </c>
      <c r="H38" s="24" t="str">
        <f aca="false">IF(B38="Squat",IF(AND(E38&lt;=Summary!$B$7,OR(F38="",F38&lt;=Summary!$B$8)),"Correct","Incorrect"),IF(AND(E38&lt;=Summary!$B$9,OR(F38="",F38&gt;=Summary!$B$10)),"Correct","Incorrect"))</f>
        <v>Correct</v>
      </c>
      <c r="I38" s="26" t="s">
        <v>80</v>
      </c>
      <c r="J38" s="11" t="s">
        <v>78</v>
      </c>
      <c r="K38" s="24" t="str">
        <f aca="false">IF(J38="Yes",IF(I38="Correct","Incorrect","Correct"),I38)</f>
        <v>Correct</v>
      </c>
      <c r="L38" s="24" t="str">
        <f aca="false">IF(I38="Incorrect",IF(H38="Incorrect","TP","FN"),IF(H38="Incorrect","FP","TN"))</f>
        <v>TN</v>
      </c>
      <c r="M38" s="24" t="n">
        <f aca="false">IF(H38=I38,1,0)</f>
        <v>1</v>
      </c>
      <c r="N38" s="24" t="n">
        <f aca="false">IF(G38=I38,1,0)</f>
        <v>1</v>
      </c>
      <c r="O38" s="24" t="n">
        <f aca="false">IF(H38=K38,1,0)</f>
        <v>1</v>
      </c>
      <c r="P38" s="24"/>
      <c r="Q38" s="24" t="s">
        <v>81</v>
      </c>
    </row>
    <row r="39" customFormat="false" ht="15" hidden="false" customHeight="false" outlineLevel="0" collapsed="false">
      <c r="A39" s="11" t="s">
        <v>58</v>
      </c>
      <c r="B39" s="11" t="s">
        <v>31</v>
      </c>
      <c r="C39" s="11" t="n">
        <v>1</v>
      </c>
      <c r="D39" s="11" t="n">
        <v>8</v>
      </c>
      <c r="E39" s="25" t="n">
        <v>58.9</v>
      </c>
      <c r="F39" s="25" t="n">
        <v>171.1</v>
      </c>
      <c r="G39" s="11" t="s">
        <v>80</v>
      </c>
      <c r="H39" s="24" t="str">
        <f aca="false">IF(B39="Squat",IF(AND(E39&lt;=Summary!$B$7,OR(F39="",F39&lt;=Summary!$B$8)),"Correct","Incorrect"),IF(AND(E39&lt;=Summary!$B$9,OR(F39="",F39&gt;=Summary!$B$10)),"Correct","Incorrect"))</f>
        <v>Correct</v>
      </c>
      <c r="I39" s="26" t="s">
        <v>80</v>
      </c>
      <c r="J39" s="11" t="s">
        <v>78</v>
      </c>
      <c r="K39" s="24" t="str">
        <f aca="false">IF(J39="Yes",IF(I39="Correct","Incorrect","Correct"),I39)</f>
        <v>Correct</v>
      </c>
      <c r="L39" s="24" t="str">
        <f aca="false">IF(I39="Incorrect",IF(H39="Incorrect","TP","FN"),IF(H39="Incorrect","FP","TN"))</f>
        <v>TN</v>
      </c>
      <c r="M39" s="24" t="n">
        <f aca="false">IF(H39=I39,1,0)</f>
        <v>1</v>
      </c>
      <c r="N39" s="24" t="n">
        <f aca="false">IF(G39=I39,1,0)</f>
        <v>1</v>
      </c>
      <c r="O39" s="24" t="n">
        <f aca="false">IF(H39=K39,1,0)</f>
        <v>1</v>
      </c>
      <c r="P39" s="24"/>
      <c r="Q39" s="24" t="s">
        <v>81</v>
      </c>
    </row>
    <row r="40" customFormat="false" ht="15" hidden="false" customHeight="false" outlineLevel="0" collapsed="false">
      <c r="A40" s="11" t="s">
        <v>58</v>
      </c>
      <c r="B40" s="11" t="s">
        <v>31</v>
      </c>
      <c r="C40" s="11" t="n">
        <v>1</v>
      </c>
      <c r="D40" s="11" t="n">
        <v>9</v>
      </c>
      <c r="E40" s="25" t="n">
        <v>63.6</v>
      </c>
      <c r="F40" s="25" t="n">
        <v>171.2</v>
      </c>
      <c r="G40" s="11" t="s">
        <v>80</v>
      </c>
      <c r="H40" s="24" t="str">
        <f aca="false">IF(B40="Squat",IF(AND(E40&lt;=Summary!$B$7,OR(F40="",F40&lt;=Summary!$B$8)),"Correct","Incorrect"),IF(AND(E40&lt;=Summary!$B$9,OR(F40="",F40&gt;=Summary!$B$10)),"Correct","Incorrect"))</f>
        <v>Correct</v>
      </c>
      <c r="I40" s="26" t="s">
        <v>80</v>
      </c>
      <c r="J40" s="11" t="s">
        <v>78</v>
      </c>
      <c r="K40" s="24" t="str">
        <f aca="false">IF(J40="Yes",IF(I40="Correct","Incorrect","Correct"),I40)</f>
        <v>Correct</v>
      </c>
      <c r="L40" s="24" t="str">
        <f aca="false">IF(I40="Incorrect",IF(H40="Incorrect","TP","FN"),IF(H40="Incorrect","FP","TN"))</f>
        <v>TN</v>
      </c>
      <c r="M40" s="24" t="n">
        <f aca="false">IF(H40=I40,1,0)</f>
        <v>1</v>
      </c>
      <c r="N40" s="24" t="n">
        <f aca="false">IF(G40=I40,1,0)</f>
        <v>1</v>
      </c>
      <c r="O40" s="24" t="n">
        <f aca="false">IF(H40=K40,1,0)</f>
        <v>1</v>
      </c>
      <c r="P40" s="24"/>
      <c r="Q40" s="24" t="s">
        <v>81</v>
      </c>
    </row>
    <row r="41" customFormat="false" ht="15" hidden="false" customHeight="false" outlineLevel="0" collapsed="false">
      <c r="A41" s="11" t="s">
        <v>58</v>
      </c>
      <c r="B41" s="11" t="s">
        <v>31</v>
      </c>
      <c r="C41" s="11" t="n">
        <v>1</v>
      </c>
      <c r="D41" s="11" t="n">
        <v>10</v>
      </c>
      <c r="E41" s="25" t="n">
        <v>56.4</v>
      </c>
      <c r="F41" s="25" t="n">
        <v>170.4</v>
      </c>
      <c r="G41" s="11" t="s">
        <v>80</v>
      </c>
      <c r="H41" s="24" t="str">
        <f aca="false">IF(B41="Squat",IF(AND(E41&lt;=Summary!$B$7,OR(F41="",F41&lt;=Summary!$B$8)),"Correct","Incorrect"),IF(AND(E41&lt;=Summary!$B$9,OR(F41="",F41&gt;=Summary!$B$10)),"Correct","Incorrect"))</f>
        <v>Correct</v>
      </c>
      <c r="I41" s="26" t="s">
        <v>80</v>
      </c>
      <c r="J41" s="11" t="s">
        <v>78</v>
      </c>
      <c r="K41" s="24" t="str">
        <f aca="false">IF(J41="Yes",IF(I41="Correct","Incorrect","Correct"),I41)</f>
        <v>Correct</v>
      </c>
      <c r="L41" s="24" t="str">
        <f aca="false">IF(I41="Incorrect",IF(H41="Incorrect","TP","FN"),IF(H41="Incorrect","FP","TN"))</f>
        <v>TN</v>
      </c>
      <c r="M41" s="24" t="n">
        <f aca="false">IF(H41=I41,1,0)</f>
        <v>1</v>
      </c>
      <c r="N41" s="24" t="n">
        <f aca="false">IF(G41=I41,1,0)</f>
        <v>1</v>
      </c>
      <c r="O41" s="24" t="n">
        <f aca="false">IF(H41=K41,1,0)</f>
        <v>1</v>
      </c>
      <c r="P41" s="24"/>
      <c r="Q41" s="24" t="s">
        <v>81</v>
      </c>
    </row>
    <row r="42" customFormat="false" ht="15" hidden="false" customHeight="false" outlineLevel="0" collapsed="false">
      <c r="A42" s="11" t="s">
        <v>58</v>
      </c>
      <c r="B42" s="11" t="s">
        <v>31</v>
      </c>
      <c r="C42" s="11" t="n">
        <v>2</v>
      </c>
      <c r="D42" s="11" t="n">
        <v>1</v>
      </c>
      <c r="E42" s="25" t="n">
        <v>112.2</v>
      </c>
      <c r="F42" s="25" t="n">
        <v>119.6</v>
      </c>
      <c r="G42" s="11" t="s">
        <v>77</v>
      </c>
      <c r="H42" s="24" t="str">
        <f aca="false">IF(B42="Squat",IF(AND(E42&lt;=Summary!$B$7,OR(F42="",F42&lt;=Summary!$B$8)),"Correct","Incorrect"),IF(AND(E42&lt;=Summary!$B$9,OR(F42="",F42&gt;=Summary!$B$10)),"Correct","Incorrect"))</f>
        <v>Incorrect</v>
      </c>
      <c r="I42" s="26" t="s">
        <v>77</v>
      </c>
      <c r="J42" s="11" t="s">
        <v>78</v>
      </c>
      <c r="K42" s="24" t="str">
        <f aca="false">IF(J42="Yes",IF(I42="Correct","Incorrect","Correct"),I42)</f>
        <v>Incorrect</v>
      </c>
      <c r="L42" s="24" t="str">
        <f aca="false">IF(I42="Incorrect",IF(H42="Incorrect","TP","FN"),IF(H42="Incorrect","FP","TN"))</f>
        <v>TP</v>
      </c>
      <c r="M42" s="24" t="n">
        <f aca="false">IF(H42=I42,1,0)</f>
        <v>1</v>
      </c>
      <c r="N42" s="24" t="n">
        <f aca="false">IF(G42=I42,1,0)</f>
        <v>1</v>
      </c>
      <c r="O42" s="24" t="n">
        <f aca="false">IF(H42=K42,1,0)</f>
        <v>1</v>
      </c>
      <c r="P42" s="24"/>
      <c r="Q42" s="24" t="s">
        <v>81</v>
      </c>
    </row>
    <row r="43" customFormat="false" ht="15" hidden="false" customHeight="false" outlineLevel="0" collapsed="false">
      <c r="A43" s="11" t="s">
        <v>58</v>
      </c>
      <c r="B43" s="11" t="s">
        <v>31</v>
      </c>
      <c r="C43" s="11" t="n">
        <v>2</v>
      </c>
      <c r="D43" s="11" t="n">
        <v>2</v>
      </c>
      <c r="E43" s="25" t="n">
        <v>95.4</v>
      </c>
      <c r="F43" s="25" t="n">
        <v>124.7</v>
      </c>
      <c r="G43" s="11" t="s">
        <v>77</v>
      </c>
      <c r="H43" s="24" t="str">
        <f aca="false">IF(B43="Squat",IF(AND(E43&lt;=Summary!$B$7,OR(F43="",F43&lt;=Summary!$B$8)),"Correct","Incorrect"),IF(AND(E43&lt;=Summary!$B$9,OR(F43="",F43&gt;=Summary!$B$10)),"Correct","Incorrect"))</f>
        <v>Incorrect</v>
      </c>
      <c r="I43" s="26" t="s">
        <v>77</v>
      </c>
      <c r="J43" s="11" t="s">
        <v>78</v>
      </c>
      <c r="K43" s="24" t="str">
        <f aca="false">IF(J43="Yes",IF(I43="Correct","Incorrect","Correct"),I43)</f>
        <v>Incorrect</v>
      </c>
      <c r="L43" s="24" t="str">
        <f aca="false">IF(I43="Incorrect",IF(H43="Incorrect","TP","FN"),IF(H43="Incorrect","FP","TN"))</f>
        <v>TP</v>
      </c>
      <c r="M43" s="24" t="n">
        <f aca="false">IF(H43=I43,1,0)</f>
        <v>1</v>
      </c>
      <c r="N43" s="24" t="n">
        <f aca="false">IF(G43=I43,1,0)</f>
        <v>1</v>
      </c>
      <c r="O43" s="24" t="n">
        <f aca="false">IF(H43=K43,1,0)</f>
        <v>1</v>
      </c>
      <c r="P43" s="24"/>
      <c r="Q43" s="24" t="s">
        <v>81</v>
      </c>
    </row>
    <row r="44" customFormat="false" ht="15" hidden="false" customHeight="false" outlineLevel="0" collapsed="false">
      <c r="A44" s="11" t="s">
        <v>58</v>
      </c>
      <c r="B44" s="11" t="s">
        <v>31</v>
      </c>
      <c r="C44" s="11" t="n">
        <v>2</v>
      </c>
      <c r="D44" s="11" t="n">
        <v>3</v>
      </c>
      <c r="E44" s="25" t="n">
        <v>105.5</v>
      </c>
      <c r="F44" s="25" t="n">
        <v>124.5</v>
      </c>
      <c r="G44" s="11" t="s">
        <v>77</v>
      </c>
      <c r="H44" s="24" t="str">
        <f aca="false">IF(B44="Squat",IF(AND(E44&lt;=Summary!$B$7,OR(F44="",F44&lt;=Summary!$B$8)),"Correct","Incorrect"),IF(AND(E44&lt;=Summary!$B$9,OR(F44="",F44&gt;=Summary!$B$10)),"Correct","Incorrect"))</f>
        <v>Incorrect</v>
      </c>
      <c r="I44" s="26" t="s">
        <v>77</v>
      </c>
      <c r="J44" s="11" t="s">
        <v>78</v>
      </c>
      <c r="K44" s="24" t="str">
        <f aca="false">IF(J44="Yes",IF(I44="Correct","Incorrect","Correct"),I44)</f>
        <v>Incorrect</v>
      </c>
      <c r="L44" s="24" t="str">
        <f aca="false">IF(I44="Incorrect",IF(H44="Incorrect","TP","FN"),IF(H44="Incorrect","FP","TN"))</f>
        <v>TP</v>
      </c>
      <c r="M44" s="24" t="n">
        <f aca="false">IF(H44=I44,1,0)</f>
        <v>1</v>
      </c>
      <c r="N44" s="24" t="n">
        <f aca="false">IF(G44=I44,1,0)</f>
        <v>1</v>
      </c>
      <c r="O44" s="24" t="n">
        <f aca="false">IF(H44=K44,1,0)</f>
        <v>1</v>
      </c>
      <c r="P44" s="24"/>
      <c r="Q44" s="24" t="s">
        <v>81</v>
      </c>
    </row>
    <row r="45" customFormat="false" ht="15" hidden="false" customHeight="false" outlineLevel="0" collapsed="false">
      <c r="A45" s="11" t="s">
        <v>58</v>
      </c>
      <c r="B45" s="11" t="s">
        <v>31</v>
      </c>
      <c r="C45" s="11" t="n">
        <v>2</v>
      </c>
      <c r="D45" s="11" t="n">
        <v>4</v>
      </c>
      <c r="E45" s="25" t="n">
        <v>101.7</v>
      </c>
      <c r="F45" s="25" t="n">
        <v>126.2</v>
      </c>
      <c r="G45" s="11" t="s">
        <v>77</v>
      </c>
      <c r="H45" s="24" t="str">
        <f aca="false">IF(B45="Squat",IF(AND(E45&lt;=Summary!$B$7,OR(F45="",F45&lt;=Summary!$B$8)),"Correct","Incorrect"),IF(AND(E45&lt;=Summary!$B$9,OR(F45="",F45&gt;=Summary!$B$10)),"Correct","Incorrect"))</f>
        <v>Incorrect</v>
      </c>
      <c r="I45" s="26" t="s">
        <v>77</v>
      </c>
      <c r="J45" s="11" t="s">
        <v>78</v>
      </c>
      <c r="K45" s="24" t="str">
        <f aca="false">IF(J45="Yes",IF(I45="Correct","Incorrect","Correct"),I45)</f>
        <v>Incorrect</v>
      </c>
      <c r="L45" s="24" t="str">
        <f aca="false">IF(I45="Incorrect",IF(H45="Incorrect","TP","FN"),IF(H45="Incorrect","FP","TN"))</f>
        <v>TP</v>
      </c>
      <c r="M45" s="24" t="n">
        <f aca="false">IF(H45=I45,1,0)</f>
        <v>1</v>
      </c>
      <c r="N45" s="24" t="n">
        <f aca="false">IF(G45=I45,1,0)</f>
        <v>1</v>
      </c>
      <c r="O45" s="24" t="n">
        <f aca="false">IF(H45=K45,1,0)</f>
        <v>1</v>
      </c>
      <c r="P45" s="24"/>
      <c r="Q45" s="24" t="s">
        <v>81</v>
      </c>
    </row>
    <row r="46" customFormat="false" ht="15" hidden="false" customHeight="false" outlineLevel="0" collapsed="false">
      <c r="A46" s="11" t="s">
        <v>58</v>
      </c>
      <c r="B46" s="11" t="s">
        <v>31</v>
      </c>
      <c r="C46" s="11" t="n">
        <v>2</v>
      </c>
      <c r="D46" s="11" t="n">
        <v>5</v>
      </c>
      <c r="E46" s="25" t="n">
        <v>107.7</v>
      </c>
      <c r="F46" s="25" t="n">
        <v>166.7</v>
      </c>
      <c r="G46" s="11" t="s">
        <v>77</v>
      </c>
      <c r="H46" s="24" t="str">
        <f aca="false">IF(B46="Squat",IF(AND(E46&lt;=Summary!$B$7,OR(F46="",F46&lt;=Summary!$B$8)),"Correct","Incorrect"),IF(AND(E46&lt;=Summary!$B$9,OR(F46="",F46&gt;=Summary!$B$10)),"Correct","Incorrect"))</f>
        <v>Incorrect</v>
      </c>
      <c r="I46" s="26" t="s">
        <v>77</v>
      </c>
      <c r="J46" s="11" t="s">
        <v>78</v>
      </c>
      <c r="K46" s="24" t="str">
        <f aca="false">IF(J46="Yes",IF(I46="Correct","Incorrect","Correct"),I46)</f>
        <v>Incorrect</v>
      </c>
      <c r="L46" s="24" t="str">
        <f aca="false">IF(I46="Incorrect",IF(H46="Incorrect","TP","FN"),IF(H46="Incorrect","FP","TN"))</f>
        <v>TP</v>
      </c>
      <c r="M46" s="24" t="n">
        <f aca="false">IF(H46=I46,1,0)</f>
        <v>1</v>
      </c>
      <c r="N46" s="24" t="n">
        <f aca="false">IF(G46=I46,1,0)</f>
        <v>1</v>
      </c>
      <c r="O46" s="24" t="n">
        <f aca="false">IF(H46=K46,1,0)</f>
        <v>1</v>
      </c>
      <c r="P46" s="24"/>
      <c r="Q46" s="24" t="s">
        <v>81</v>
      </c>
    </row>
    <row r="47" customFormat="false" ht="15" hidden="false" customHeight="false" outlineLevel="0" collapsed="false">
      <c r="A47" s="11" t="s">
        <v>58</v>
      </c>
      <c r="B47" s="11" t="s">
        <v>31</v>
      </c>
      <c r="C47" s="11" t="n">
        <v>2</v>
      </c>
      <c r="D47" s="11" t="n">
        <v>6</v>
      </c>
      <c r="E47" s="25" t="n">
        <v>94.2</v>
      </c>
      <c r="F47" s="25" t="n">
        <v>107.6</v>
      </c>
      <c r="G47" s="11" t="s">
        <v>77</v>
      </c>
      <c r="H47" s="24" t="str">
        <f aca="false">IF(B47="Squat",IF(AND(E47&lt;=Summary!$B$7,OR(F47="",F47&lt;=Summary!$B$8)),"Correct","Incorrect"),IF(AND(E47&lt;=Summary!$B$9,OR(F47="",F47&gt;=Summary!$B$10)),"Correct","Incorrect"))</f>
        <v>Incorrect</v>
      </c>
      <c r="I47" s="26" t="s">
        <v>77</v>
      </c>
      <c r="J47" s="11" t="s">
        <v>78</v>
      </c>
      <c r="K47" s="24" t="str">
        <f aca="false">IF(J47="Yes",IF(I47="Correct","Incorrect","Correct"),I47)</f>
        <v>Incorrect</v>
      </c>
      <c r="L47" s="24" t="str">
        <f aca="false">IF(I47="Incorrect",IF(H47="Incorrect","TP","FN"),IF(H47="Incorrect","FP","TN"))</f>
        <v>TP</v>
      </c>
      <c r="M47" s="24" t="n">
        <f aca="false">IF(H47=I47,1,0)</f>
        <v>1</v>
      </c>
      <c r="N47" s="24" t="n">
        <f aca="false">IF(G47=I47,1,0)</f>
        <v>1</v>
      </c>
      <c r="O47" s="24" t="n">
        <f aca="false">IF(H47=K47,1,0)</f>
        <v>1</v>
      </c>
      <c r="P47" s="24"/>
      <c r="Q47" s="24" t="s">
        <v>81</v>
      </c>
    </row>
    <row r="48" customFormat="false" ht="15" hidden="false" customHeight="false" outlineLevel="0" collapsed="false">
      <c r="A48" s="11" t="s">
        <v>58</v>
      </c>
      <c r="B48" s="11" t="s">
        <v>31</v>
      </c>
      <c r="C48" s="11" t="n">
        <v>2</v>
      </c>
      <c r="D48" s="11" t="n">
        <v>7</v>
      </c>
      <c r="E48" s="25" t="n">
        <v>93.9</v>
      </c>
      <c r="F48" s="25" t="n">
        <v>105.3</v>
      </c>
      <c r="G48" s="11" t="s">
        <v>77</v>
      </c>
      <c r="H48" s="24" t="str">
        <f aca="false">IF(B48="Squat",IF(AND(E48&lt;=Summary!$B$7,OR(F48="",F48&lt;=Summary!$B$8)),"Correct","Incorrect"),IF(AND(E48&lt;=Summary!$B$9,OR(F48="",F48&gt;=Summary!$B$10)),"Correct","Incorrect"))</f>
        <v>Incorrect</v>
      </c>
      <c r="I48" s="26" t="s">
        <v>77</v>
      </c>
      <c r="J48" s="11" t="s">
        <v>78</v>
      </c>
      <c r="K48" s="24" t="str">
        <f aca="false">IF(J48="Yes",IF(I48="Correct","Incorrect","Correct"),I48)</f>
        <v>Incorrect</v>
      </c>
      <c r="L48" s="24" t="str">
        <f aca="false">IF(I48="Incorrect",IF(H48="Incorrect","TP","FN"),IF(H48="Incorrect","FP","TN"))</f>
        <v>TP</v>
      </c>
      <c r="M48" s="24" t="n">
        <f aca="false">IF(H48=I48,1,0)</f>
        <v>1</v>
      </c>
      <c r="N48" s="24" t="n">
        <f aca="false">IF(G48=I48,1,0)</f>
        <v>1</v>
      </c>
      <c r="O48" s="24" t="n">
        <f aca="false">IF(H48=K48,1,0)</f>
        <v>1</v>
      </c>
      <c r="P48" s="24"/>
      <c r="Q48" s="24" t="s">
        <v>81</v>
      </c>
    </row>
    <row r="49" customFormat="false" ht="15" hidden="false" customHeight="false" outlineLevel="0" collapsed="false">
      <c r="A49" s="11" t="s">
        <v>58</v>
      </c>
      <c r="B49" s="11" t="s">
        <v>31</v>
      </c>
      <c r="C49" s="11" t="n">
        <v>2</v>
      </c>
      <c r="D49" s="11" t="n">
        <v>8</v>
      </c>
      <c r="E49" s="25" t="n">
        <v>105.8</v>
      </c>
      <c r="F49" s="25" t="n">
        <v>108.3</v>
      </c>
      <c r="G49" s="11" t="s">
        <v>77</v>
      </c>
      <c r="H49" s="24" t="str">
        <f aca="false">IF(B49="Squat",IF(AND(E49&lt;=Summary!$B$7,OR(F49="",F49&lt;=Summary!$B$8)),"Correct","Incorrect"),IF(AND(E49&lt;=Summary!$B$9,OR(F49="",F49&gt;=Summary!$B$10)),"Correct","Incorrect"))</f>
        <v>Incorrect</v>
      </c>
      <c r="I49" s="26" t="s">
        <v>77</v>
      </c>
      <c r="J49" s="11" t="s">
        <v>78</v>
      </c>
      <c r="K49" s="24" t="str">
        <f aca="false">IF(J49="Yes",IF(I49="Correct","Incorrect","Correct"),I49)</f>
        <v>Incorrect</v>
      </c>
      <c r="L49" s="24" t="str">
        <f aca="false">IF(I49="Incorrect",IF(H49="Incorrect","TP","FN"),IF(H49="Incorrect","FP","TN"))</f>
        <v>TP</v>
      </c>
      <c r="M49" s="24" t="n">
        <f aca="false">IF(H49=I49,1,0)</f>
        <v>1</v>
      </c>
      <c r="N49" s="24" t="n">
        <f aca="false">IF(G49=I49,1,0)</f>
        <v>1</v>
      </c>
      <c r="O49" s="24" t="n">
        <f aca="false">IF(H49=K49,1,0)</f>
        <v>1</v>
      </c>
      <c r="P49" s="24"/>
      <c r="Q49" s="24" t="s">
        <v>81</v>
      </c>
    </row>
    <row r="50" customFormat="false" ht="15" hidden="false" customHeight="false" outlineLevel="0" collapsed="false">
      <c r="A50" s="11" t="s">
        <v>58</v>
      </c>
      <c r="B50" s="11" t="s">
        <v>31</v>
      </c>
      <c r="C50" s="11" t="n">
        <v>2</v>
      </c>
      <c r="D50" s="11" t="n">
        <v>9</v>
      </c>
      <c r="E50" s="25" t="n">
        <v>108.1</v>
      </c>
      <c r="F50" s="25" t="n">
        <v>159.4</v>
      </c>
      <c r="G50" s="11" t="s">
        <v>77</v>
      </c>
      <c r="H50" s="24" t="str">
        <f aca="false">IF(B50="Squat",IF(AND(E50&lt;=Summary!$B$7,OR(F50="",F50&lt;=Summary!$B$8)),"Correct","Incorrect"),IF(AND(E50&lt;=Summary!$B$9,OR(F50="",F50&gt;=Summary!$B$10)),"Correct","Incorrect"))</f>
        <v>Incorrect</v>
      </c>
      <c r="I50" s="26" t="s">
        <v>77</v>
      </c>
      <c r="J50" s="11" t="s">
        <v>78</v>
      </c>
      <c r="K50" s="24" t="str">
        <f aca="false">IF(J50="Yes",IF(I50="Correct","Incorrect","Correct"),I50)</f>
        <v>Incorrect</v>
      </c>
      <c r="L50" s="24" t="str">
        <f aca="false">IF(I50="Incorrect",IF(H50="Incorrect","TP","FN"),IF(H50="Incorrect","FP","TN"))</f>
        <v>TP</v>
      </c>
      <c r="M50" s="24" t="n">
        <f aca="false">IF(H50=I50,1,0)</f>
        <v>1</v>
      </c>
      <c r="N50" s="24" t="n">
        <f aca="false">IF(G50=I50,1,0)</f>
        <v>1</v>
      </c>
      <c r="O50" s="24" t="n">
        <f aca="false">IF(H50=K50,1,0)</f>
        <v>1</v>
      </c>
      <c r="P50" s="24"/>
      <c r="Q50" s="24" t="s">
        <v>81</v>
      </c>
    </row>
    <row r="51" customFormat="false" ht="15" hidden="false" customHeight="false" outlineLevel="0" collapsed="false">
      <c r="A51" s="11" t="s">
        <v>58</v>
      </c>
      <c r="B51" s="11" t="s">
        <v>31</v>
      </c>
      <c r="C51" s="11" t="n">
        <v>2</v>
      </c>
      <c r="D51" s="11" t="n">
        <v>10</v>
      </c>
      <c r="E51" s="25" t="n">
        <v>110.2</v>
      </c>
      <c r="F51" s="25" t="n">
        <v>171.6</v>
      </c>
      <c r="G51" s="11" t="s">
        <v>77</v>
      </c>
      <c r="H51" s="24" t="str">
        <f aca="false">IF(B51="Squat",IF(AND(E51&lt;=Summary!$B$7,OR(F51="",F51&lt;=Summary!$B$8)),"Correct","Incorrect"),IF(AND(E51&lt;=Summary!$B$9,OR(F51="",F51&gt;=Summary!$B$10)),"Correct","Incorrect"))</f>
        <v>Incorrect</v>
      </c>
      <c r="I51" s="26" t="s">
        <v>77</v>
      </c>
      <c r="J51" s="11" t="s">
        <v>78</v>
      </c>
      <c r="K51" s="24" t="str">
        <f aca="false">IF(J51="Yes",IF(I51="Correct","Incorrect","Correct"),I51)</f>
        <v>Incorrect</v>
      </c>
      <c r="L51" s="24" t="str">
        <f aca="false">IF(I51="Incorrect",IF(H51="Incorrect","TP","FN"),IF(H51="Incorrect","FP","TN"))</f>
        <v>TP</v>
      </c>
      <c r="M51" s="24" t="n">
        <f aca="false">IF(H51=I51,1,0)</f>
        <v>1</v>
      </c>
      <c r="N51" s="24" t="n">
        <f aca="false">IF(G51=I51,1,0)</f>
        <v>1</v>
      </c>
      <c r="O51" s="24" t="n">
        <f aca="false">IF(H51=K51,1,0)</f>
        <v>1</v>
      </c>
      <c r="P51" s="24"/>
      <c r="Q51" s="24" t="s">
        <v>81</v>
      </c>
    </row>
    <row r="52" customFormat="false" ht="15" hidden="false" customHeight="false" outlineLevel="0" collapsed="false">
      <c r="A52" s="11" t="s">
        <v>58</v>
      </c>
      <c r="B52" s="11" t="s">
        <v>31</v>
      </c>
      <c r="C52" s="11" t="n">
        <v>3</v>
      </c>
      <c r="D52" s="11" t="n">
        <v>1</v>
      </c>
      <c r="E52" s="25" t="n">
        <v>66.9</v>
      </c>
      <c r="F52" s="25" t="n">
        <v>173.5</v>
      </c>
      <c r="G52" s="11" t="s">
        <v>80</v>
      </c>
      <c r="H52" s="24" t="str">
        <f aca="false">IF(B52="Squat",IF(AND(E52&lt;=Summary!$B$7,OR(F52="",F52&lt;=Summary!$B$8)),"Correct","Incorrect"),IF(AND(E52&lt;=Summary!$B$9,OR(F52="",F52&gt;=Summary!$B$10)),"Correct","Incorrect"))</f>
        <v>Correct</v>
      </c>
      <c r="I52" s="26" t="s">
        <v>80</v>
      </c>
      <c r="J52" s="11" t="s">
        <v>78</v>
      </c>
      <c r="K52" s="24" t="str">
        <f aca="false">IF(J52="Yes",IF(I52="Correct","Incorrect","Correct"),I52)</f>
        <v>Correct</v>
      </c>
      <c r="L52" s="24" t="str">
        <f aca="false">IF(I52="Incorrect",IF(H52="Incorrect","TP","FN"),IF(H52="Incorrect","FP","TN"))</f>
        <v>TN</v>
      </c>
      <c r="M52" s="24" t="n">
        <f aca="false">IF(H52=I52,1,0)</f>
        <v>1</v>
      </c>
      <c r="N52" s="24" t="n">
        <f aca="false">IF(G52=I52,1,0)</f>
        <v>1</v>
      </c>
      <c r="O52" s="24" t="n">
        <f aca="false">IF(H52=K52,1,0)</f>
        <v>1</v>
      </c>
      <c r="P52" s="24"/>
      <c r="Q52" s="24" t="s">
        <v>81</v>
      </c>
    </row>
    <row r="53" customFormat="false" ht="15" hidden="false" customHeight="false" outlineLevel="0" collapsed="false">
      <c r="A53" s="11" t="s">
        <v>58</v>
      </c>
      <c r="B53" s="11" t="s">
        <v>31</v>
      </c>
      <c r="C53" s="11" t="n">
        <v>3</v>
      </c>
      <c r="D53" s="11" t="n">
        <v>2</v>
      </c>
      <c r="E53" s="25" t="n">
        <v>69.7</v>
      </c>
      <c r="F53" s="25" t="n">
        <v>173.9</v>
      </c>
      <c r="G53" s="11" t="s">
        <v>80</v>
      </c>
      <c r="H53" s="24" t="str">
        <f aca="false">IF(B53="Squat",IF(AND(E53&lt;=Summary!$B$7,OR(F53="",F53&lt;=Summary!$B$8)),"Correct","Incorrect"),IF(AND(E53&lt;=Summary!$B$9,OR(F53="",F53&gt;=Summary!$B$10)),"Correct","Incorrect"))</f>
        <v>Correct</v>
      </c>
      <c r="I53" s="26" t="s">
        <v>80</v>
      </c>
      <c r="J53" s="11" t="s">
        <v>78</v>
      </c>
      <c r="K53" s="24" t="str">
        <f aca="false">IF(J53="Yes",IF(I53="Correct","Incorrect","Correct"),I53)</f>
        <v>Correct</v>
      </c>
      <c r="L53" s="24" t="str">
        <f aca="false">IF(I53="Incorrect",IF(H53="Incorrect","TP","FN"),IF(H53="Incorrect","FP","TN"))</f>
        <v>TN</v>
      </c>
      <c r="M53" s="24" t="n">
        <f aca="false">IF(H53=I53,1,0)</f>
        <v>1</v>
      </c>
      <c r="N53" s="24" t="n">
        <f aca="false">IF(G53=I53,1,0)</f>
        <v>1</v>
      </c>
      <c r="O53" s="24" t="n">
        <f aca="false">IF(H53=K53,1,0)</f>
        <v>1</v>
      </c>
      <c r="P53" s="24"/>
      <c r="Q53" s="24" t="s">
        <v>81</v>
      </c>
    </row>
    <row r="54" customFormat="false" ht="15" hidden="false" customHeight="false" outlineLevel="0" collapsed="false">
      <c r="A54" s="11" t="s">
        <v>58</v>
      </c>
      <c r="B54" s="11" t="s">
        <v>31</v>
      </c>
      <c r="C54" s="11" t="n">
        <v>3</v>
      </c>
      <c r="D54" s="11" t="n">
        <v>3</v>
      </c>
      <c r="E54" s="25" t="n">
        <v>65.3</v>
      </c>
      <c r="F54" s="25" t="n">
        <v>171.8</v>
      </c>
      <c r="G54" s="11" t="s">
        <v>80</v>
      </c>
      <c r="H54" s="24" t="str">
        <f aca="false">IF(B54="Squat",IF(AND(E54&lt;=Summary!$B$7,OR(F54="",F54&lt;=Summary!$B$8)),"Correct","Incorrect"),IF(AND(E54&lt;=Summary!$B$9,OR(F54="",F54&gt;=Summary!$B$10)),"Correct","Incorrect"))</f>
        <v>Correct</v>
      </c>
      <c r="I54" s="26" t="s">
        <v>80</v>
      </c>
      <c r="J54" s="11" t="s">
        <v>78</v>
      </c>
      <c r="K54" s="24" t="str">
        <f aca="false">IF(J54="Yes",IF(I54="Correct","Incorrect","Correct"),I54)</f>
        <v>Correct</v>
      </c>
      <c r="L54" s="24" t="str">
        <f aca="false">IF(I54="Incorrect",IF(H54="Incorrect","TP","FN"),IF(H54="Incorrect","FP","TN"))</f>
        <v>TN</v>
      </c>
      <c r="M54" s="24" t="n">
        <f aca="false">IF(H54=I54,1,0)</f>
        <v>1</v>
      </c>
      <c r="N54" s="24" t="n">
        <f aca="false">IF(G54=I54,1,0)</f>
        <v>1</v>
      </c>
      <c r="O54" s="24" t="n">
        <f aca="false">IF(H54=K54,1,0)</f>
        <v>1</v>
      </c>
      <c r="P54" s="24"/>
      <c r="Q54" s="24" t="s">
        <v>81</v>
      </c>
    </row>
    <row r="55" customFormat="false" ht="15" hidden="false" customHeight="false" outlineLevel="0" collapsed="false">
      <c r="A55" s="11" t="s">
        <v>58</v>
      </c>
      <c r="B55" s="11" t="s">
        <v>31</v>
      </c>
      <c r="C55" s="11" t="n">
        <v>3</v>
      </c>
      <c r="D55" s="11" t="n">
        <v>4</v>
      </c>
      <c r="E55" s="25" t="n">
        <v>68.5</v>
      </c>
      <c r="F55" s="25" t="n">
        <v>170.3</v>
      </c>
      <c r="G55" s="11" t="s">
        <v>80</v>
      </c>
      <c r="H55" s="24" t="str">
        <f aca="false">IF(B55="Squat",IF(AND(E55&lt;=Summary!$B$7,OR(F55="",F55&lt;=Summary!$B$8)),"Correct","Incorrect"),IF(AND(E55&lt;=Summary!$B$9,OR(F55="",F55&gt;=Summary!$B$10)),"Correct","Incorrect"))</f>
        <v>Correct</v>
      </c>
      <c r="I55" s="26" t="s">
        <v>80</v>
      </c>
      <c r="J55" s="11" t="s">
        <v>78</v>
      </c>
      <c r="K55" s="24" t="str">
        <f aca="false">IF(J55="Yes",IF(I55="Correct","Incorrect","Correct"),I55)</f>
        <v>Correct</v>
      </c>
      <c r="L55" s="24" t="str">
        <f aca="false">IF(I55="Incorrect",IF(H55="Incorrect","TP","FN"),IF(H55="Incorrect","FP","TN"))</f>
        <v>TN</v>
      </c>
      <c r="M55" s="24" t="n">
        <f aca="false">IF(H55=I55,1,0)</f>
        <v>1</v>
      </c>
      <c r="N55" s="24" t="n">
        <f aca="false">IF(G55=I55,1,0)</f>
        <v>1</v>
      </c>
      <c r="O55" s="24" t="n">
        <f aca="false">IF(H55=K55,1,0)</f>
        <v>1</v>
      </c>
      <c r="P55" s="24"/>
      <c r="Q55" s="24" t="s">
        <v>81</v>
      </c>
    </row>
    <row r="56" customFormat="false" ht="15" hidden="false" customHeight="false" outlineLevel="0" collapsed="false">
      <c r="A56" s="11" t="s">
        <v>58</v>
      </c>
      <c r="B56" s="11" t="s">
        <v>31</v>
      </c>
      <c r="C56" s="11" t="n">
        <v>3</v>
      </c>
      <c r="D56" s="11" t="n">
        <v>5</v>
      </c>
      <c r="E56" s="25" t="n">
        <v>74.2</v>
      </c>
      <c r="F56" s="25" t="n">
        <v>171</v>
      </c>
      <c r="G56" s="11" t="s">
        <v>80</v>
      </c>
      <c r="H56" s="24" t="str">
        <f aca="false">IF(B56="Squat",IF(AND(E56&lt;=Summary!$B$7,OR(F56="",F56&lt;=Summary!$B$8)),"Correct","Incorrect"),IF(AND(E56&lt;=Summary!$B$9,OR(F56="",F56&gt;=Summary!$B$10)),"Correct","Incorrect"))</f>
        <v>Correct</v>
      </c>
      <c r="I56" s="26" t="s">
        <v>80</v>
      </c>
      <c r="J56" s="11" t="s">
        <v>78</v>
      </c>
      <c r="K56" s="24" t="str">
        <f aca="false">IF(J56="Yes",IF(I56="Correct","Incorrect","Correct"),I56)</f>
        <v>Correct</v>
      </c>
      <c r="L56" s="24" t="str">
        <f aca="false">IF(I56="Incorrect",IF(H56="Incorrect","TP","FN"),IF(H56="Incorrect","FP","TN"))</f>
        <v>TN</v>
      </c>
      <c r="M56" s="24" t="n">
        <f aca="false">IF(H56=I56,1,0)</f>
        <v>1</v>
      </c>
      <c r="N56" s="24" t="n">
        <f aca="false">IF(G56=I56,1,0)</f>
        <v>1</v>
      </c>
      <c r="O56" s="24" t="n">
        <f aca="false">IF(H56=K56,1,0)</f>
        <v>1</v>
      </c>
      <c r="P56" s="24"/>
      <c r="Q56" s="24" t="s">
        <v>81</v>
      </c>
    </row>
    <row r="57" customFormat="false" ht="15" hidden="false" customHeight="false" outlineLevel="0" collapsed="false">
      <c r="A57" s="11" t="s">
        <v>58</v>
      </c>
      <c r="B57" s="11" t="s">
        <v>31</v>
      </c>
      <c r="C57" s="11" t="n">
        <v>3</v>
      </c>
      <c r="D57" s="11" t="n">
        <v>6</v>
      </c>
      <c r="E57" s="25" t="n">
        <v>71.8</v>
      </c>
      <c r="F57" s="25" t="n">
        <v>173.8</v>
      </c>
      <c r="G57" s="11" t="s">
        <v>80</v>
      </c>
      <c r="H57" s="24" t="str">
        <f aca="false">IF(B57="Squat",IF(AND(E57&lt;=Summary!$B$7,OR(F57="",F57&lt;=Summary!$B$8)),"Correct","Incorrect"),IF(AND(E57&lt;=Summary!$B$9,OR(F57="",F57&gt;=Summary!$B$10)),"Correct","Incorrect"))</f>
        <v>Correct</v>
      </c>
      <c r="I57" s="26" t="s">
        <v>80</v>
      </c>
      <c r="J57" s="11" t="s">
        <v>78</v>
      </c>
      <c r="K57" s="24" t="str">
        <f aca="false">IF(J57="Yes",IF(I57="Correct","Incorrect","Correct"),I57)</f>
        <v>Correct</v>
      </c>
      <c r="L57" s="24" t="str">
        <f aca="false">IF(I57="Incorrect",IF(H57="Incorrect","TP","FN"),IF(H57="Incorrect","FP","TN"))</f>
        <v>TN</v>
      </c>
      <c r="M57" s="24" t="n">
        <f aca="false">IF(H57=I57,1,0)</f>
        <v>1</v>
      </c>
      <c r="N57" s="24" t="n">
        <f aca="false">IF(G57=I57,1,0)</f>
        <v>1</v>
      </c>
      <c r="O57" s="24" t="n">
        <f aca="false">IF(H57=K57,1,0)</f>
        <v>1</v>
      </c>
      <c r="P57" s="24"/>
      <c r="Q57" s="24" t="s">
        <v>81</v>
      </c>
    </row>
    <row r="58" customFormat="false" ht="15" hidden="false" customHeight="false" outlineLevel="0" collapsed="false">
      <c r="A58" s="11" t="s">
        <v>58</v>
      </c>
      <c r="B58" s="11" t="s">
        <v>31</v>
      </c>
      <c r="C58" s="11" t="n">
        <v>3</v>
      </c>
      <c r="D58" s="11" t="n">
        <v>7</v>
      </c>
      <c r="E58" s="25" t="n">
        <v>69.4</v>
      </c>
      <c r="F58" s="25" t="n">
        <v>171.5</v>
      </c>
      <c r="G58" s="11" t="s">
        <v>80</v>
      </c>
      <c r="H58" s="24" t="str">
        <f aca="false">IF(B58="Squat",IF(AND(E58&lt;=Summary!$B$7,OR(F58="",F58&lt;=Summary!$B$8)),"Correct","Incorrect"),IF(AND(E58&lt;=Summary!$B$9,OR(F58="",F58&gt;=Summary!$B$10)),"Correct","Incorrect"))</f>
        <v>Correct</v>
      </c>
      <c r="I58" s="26" t="s">
        <v>80</v>
      </c>
      <c r="J58" s="11" t="s">
        <v>78</v>
      </c>
      <c r="K58" s="24" t="str">
        <f aca="false">IF(J58="Yes",IF(I58="Correct","Incorrect","Correct"),I58)</f>
        <v>Correct</v>
      </c>
      <c r="L58" s="24" t="str">
        <f aca="false">IF(I58="Incorrect",IF(H58="Incorrect","TP","FN"),IF(H58="Incorrect","FP","TN"))</f>
        <v>TN</v>
      </c>
      <c r="M58" s="24" t="n">
        <f aca="false">IF(H58=I58,1,0)</f>
        <v>1</v>
      </c>
      <c r="N58" s="24" t="n">
        <f aca="false">IF(G58=I58,1,0)</f>
        <v>1</v>
      </c>
      <c r="O58" s="24" t="n">
        <f aca="false">IF(H58=K58,1,0)</f>
        <v>1</v>
      </c>
      <c r="P58" s="24"/>
      <c r="Q58" s="24" t="s">
        <v>81</v>
      </c>
    </row>
    <row r="59" customFormat="false" ht="15" hidden="false" customHeight="false" outlineLevel="0" collapsed="false">
      <c r="A59" s="11" t="s">
        <v>58</v>
      </c>
      <c r="B59" s="11" t="s">
        <v>31</v>
      </c>
      <c r="C59" s="11" t="n">
        <v>3</v>
      </c>
      <c r="D59" s="11" t="n">
        <v>8</v>
      </c>
      <c r="E59" s="25" t="n">
        <v>72.7</v>
      </c>
      <c r="F59" s="25" t="n">
        <v>170.8</v>
      </c>
      <c r="G59" s="11" t="s">
        <v>80</v>
      </c>
      <c r="H59" s="24" t="str">
        <f aca="false">IF(B59="Squat",IF(AND(E59&lt;=Summary!$B$7,OR(F59="",F59&lt;=Summary!$B$8)),"Correct","Incorrect"),IF(AND(E59&lt;=Summary!$B$9,OR(F59="",F59&gt;=Summary!$B$10)),"Correct","Incorrect"))</f>
        <v>Correct</v>
      </c>
      <c r="I59" s="26" t="s">
        <v>80</v>
      </c>
      <c r="J59" s="11" t="s">
        <v>78</v>
      </c>
      <c r="K59" s="24" t="str">
        <f aca="false">IF(J59="Yes",IF(I59="Correct","Incorrect","Correct"),I59)</f>
        <v>Correct</v>
      </c>
      <c r="L59" s="24" t="str">
        <f aca="false">IF(I59="Incorrect",IF(H59="Incorrect","TP","FN"),IF(H59="Incorrect","FP","TN"))</f>
        <v>TN</v>
      </c>
      <c r="M59" s="24" t="n">
        <f aca="false">IF(H59=I59,1,0)</f>
        <v>1</v>
      </c>
      <c r="N59" s="24" t="n">
        <f aca="false">IF(G59=I59,1,0)</f>
        <v>1</v>
      </c>
      <c r="O59" s="24" t="n">
        <f aca="false">IF(H59=K59,1,0)</f>
        <v>1</v>
      </c>
      <c r="P59" s="24"/>
      <c r="Q59" s="24" t="s">
        <v>81</v>
      </c>
    </row>
    <row r="60" customFormat="false" ht="15" hidden="false" customHeight="false" outlineLevel="0" collapsed="false">
      <c r="A60" s="11" t="s">
        <v>58</v>
      </c>
      <c r="B60" s="11" t="s">
        <v>31</v>
      </c>
      <c r="C60" s="11" t="n">
        <v>3</v>
      </c>
      <c r="D60" s="11" t="n">
        <v>9</v>
      </c>
      <c r="E60" s="25" t="n">
        <v>68.8</v>
      </c>
      <c r="F60" s="25" t="n">
        <v>171.5</v>
      </c>
      <c r="G60" s="11" t="s">
        <v>80</v>
      </c>
      <c r="H60" s="24" t="str">
        <f aca="false">IF(B60="Squat",IF(AND(E60&lt;=Summary!$B$7,OR(F60="",F60&lt;=Summary!$B$8)),"Correct","Incorrect"),IF(AND(E60&lt;=Summary!$B$9,OR(F60="",F60&gt;=Summary!$B$10)),"Correct","Incorrect"))</f>
        <v>Correct</v>
      </c>
      <c r="I60" s="26" t="s">
        <v>80</v>
      </c>
      <c r="J60" s="11" t="s">
        <v>78</v>
      </c>
      <c r="K60" s="24" t="str">
        <f aca="false">IF(J60="Yes",IF(I60="Correct","Incorrect","Correct"),I60)</f>
        <v>Correct</v>
      </c>
      <c r="L60" s="24" t="str">
        <f aca="false">IF(I60="Incorrect",IF(H60="Incorrect","TP","FN"),IF(H60="Incorrect","FP","TN"))</f>
        <v>TN</v>
      </c>
      <c r="M60" s="24" t="n">
        <f aca="false">IF(H60=I60,1,0)</f>
        <v>1</v>
      </c>
      <c r="N60" s="24" t="n">
        <f aca="false">IF(G60=I60,1,0)</f>
        <v>1</v>
      </c>
      <c r="O60" s="24" t="n">
        <f aca="false">IF(H60=K60,1,0)</f>
        <v>1</v>
      </c>
      <c r="P60" s="24"/>
      <c r="Q60" s="24" t="s">
        <v>81</v>
      </c>
    </row>
    <row r="61" customFormat="false" ht="15" hidden="false" customHeight="false" outlineLevel="0" collapsed="false">
      <c r="A61" s="11" t="s">
        <v>58</v>
      </c>
      <c r="B61" s="11" t="s">
        <v>31</v>
      </c>
      <c r="C61" s="11" t="n">
        <v>3</v>
      </c>
      <c r="D61" s="11" t="n">
        <v>10</v>
      </c>
      <c r="E61" s="25" t="n">
        <v>65.6</v>
      </c>
      <c r="F61" s="25" t="n">
        <v>172.5</v>
      </c>
      <c r="G61" s="11" t="s">
        <v>80</v>
      </c>
      <c r="H61" s="24" t="str">
        <f aca="false">IF(B61="Squat",IF(AND(E61&lt;=Summary!$B$7,OR(F61="",F61&lt;=Summary!$B$8)),"Correct","Incorrect"),IF(AND(E61&lt;=Summary!$B$9,OR(F61="",F61&gt;=Summary!$B$10)),"Correct","Incorrect"))</f>
        <v>Correct</v>
      </c>
      <c r="I61" s="26" t="s">
        <v>80</v>
      </c>
      <c r="J61" s="11" t="s">
        <v>78</v>
      </c>
      <c r="K61" s="24" t="str">
        <f aca="false">IF(J61="Yes",IF(I61="Correct","Incorrect","Correct"),I61)</f>
        <v>Correct</v>
      </c>
      <c r="L61" s="24" t="str">
        <f aca="false">IF(I61="Incorrect",IF(H61="Incorrect","TP","FN"),IF(H61="Incorrect","FP","TN"))</f>
        <v>TN</v>
      </c>
      <c r="M61" s="24" t="n">
        <f aca="false">IF(H61=I61,1,0)</f>
        <v>1</v>
      </c>
      <c r="N61" s="24" t="n">
        <f aca="false">IF(G61=I61,1,0)</f>
        <v>1</v>
      </c>
      <c r="O61" s="24" t="n">
        <f aca="false">IF(H61=K61,1,0)</f>
        <v>1</v>
      </c>
      <c r="P61" s="24"/>
      <c r="Q61" s="24" t="s">
        <v>81</v>
      </c>
    </row>
    <row r="62" customFormat="false" ht="15" hidden="false" customHeight="false" outlineLevel="0" collapsed="false">
      <c r="A62" s="11" t="s">
        <v>59</v>
      </c>
      <c r="B62" s="11" t="s">
        <v>31</v>
      </c>
      <c r="C62" s="11" t="n">
        <v>1</v>
      </c>
      <c r="D62" s="11" t="n">
        <v>1</v>
      </c>
      <c r="E62" s="25" t="n">
        <v>72.4</v>
      </c>
      <c r="F62" s="25" t="n">
        <v>175.2</v>
      </c>
      <c r="G62" s="11" t="s">
        <v>80</v>
      </c>
      <c r="H62" s="24" t="str">
        <f aca="false">IF(B62="Squat",IF(AND(E62&lt;=Summary!$B$7,OR(F62="",F62&lt;=Summary!$B$8)),"Correct","Incorrect"),IF(AND(E62&lt;=Summary!$B$9,OR(F62="",F62&gt;=Summary!$B$10)),"Correct","Incorrect"))</f>
        <v>Correct</v>
      </c>
      <c r="I62" s="26" t="s">
        <v>80</v>
      </c>
      <c r="J62" s="11" t="s">
        <v>78</v>
      </c>
      <c r="K62" s="24" t="str">
        <f aca="false">IF(J62="Yes",IF(I62="Correct","Incorrect","Correct"),I62)</f>
        <v>Correct</v>
      </c>
      <c r="L62" s="24" t="str">
        <f aca="false">IF(I62="Incorrect",IF(H62="Incorrect","TP","FN"),IF(H62="Incorrect","FP","TN"))</f>
        <v>TN</v>
      </c>
      <c r="M62" s="24" t="n">
        <f aca="false">IF(H62=I62,1,0)</f>
        <v>1</v>
      </c>
      <c r="N62" s="24" t="n">
        <f aca="false">IF(G62=I62,1,0)</f>
        <v>1</v>
      </c>
      <c r="O62" s="24" t="n">
        <f aca="false">IF(H62=K62,1,0)</f>
        <v>1</v>
      </c>
      <c r="P62" s="24"/>
      <c r="Q62" s="24" t="s">
        <v>82</v>
      </c>
    </row>
    <row r="63" customFormat="false" ht="15" hidden="false" customHeight="false" outlineLevel="0" collapsed="false">
      <c r="A63" s="11" t="s">
        <v>59</v>
      </c>
      <c r="B63" s="11" t="s">
        <v>31</v>
      </c>
      <c r="C63" s="11" t="n">
        <v>1</v>
      </c>
      <c r="D63" s="11" t="n">
        <v>2</v>
      </c>
      <c r="E63" s="25" t="n">
        <v>78.6</v>
      </c>
      <c r="F63" s="25" t="n">
        <v>170.5</v>
      </c>
      <c r="G63" s="11" t="s">
        <v>80</v>
      </c>
      <c r="H63" s="24" t="str">
        <f aca="false">IF(B63="Squat",IF(AND(E63&lt;=Summary!$B$7,OR(F63="",F63&lt;=Summary!$B$8)),"Correct","Incorrect"),IF(AND(E63&lt;=Summary!$B$9,OR(F63="",F63&gt;=Summary!$B$10)),"Correct","Incorrect"))</f>
        <v>Correct</v>
      </c>
      <c r="I63" s="26" t="s">
        <v>80</v>
      </c>
      <c r="J63" s="11" t="s">
        <v>78</v>
      </c>
      <c r="K63" s="24" t="str">
        <f aca="false">IF(J63="Yes",IF(I63="Correct","Incorrect","Correct"),I63)</f>
        <v>Correct</v>
      </c>
      <c r="L63" s="24" t="str">
        <f aca="false">IF(I63="Incorrect",IF(H63="Incorrect","TP","FN"),IF(H63="Incorrect","FP","TN"))</f>
        <v>TN</v>
      </c>
      <c r="M63" s="24" t="n">
        <f aca="false">IF(H63=I63,1,0)</f>
        <v>1</v>
      </c>
      <c r="N63" s="24" t="n">
        <f aca="false">IF(G63=I63,1,0)</f>
        <v>1</v>
      </c>
      <c r="O63" s="24" t="n">
        <f aca="false">IF(H63=K63,1,0)</f>
        <v>1</v>
      </c>
      <c r="P63" s="24"/>
      <c r="Q63" s="24" t="s">
        <v>82</v>
      </c>
    </row>
    <row r="64" customFormat="false" ht="15" hidden="false" customHeight="false" outlineLevel="0" collapsed="false">
      <c r="A64" s="11" t="s">
        <v>59</v>
      </c>
      <c r="B64" s="11" t="s">
        <v>31</v>
      </c>
      <c r="C64" s="11" t="n">
        <v>1</v>
      </c>
      <c r="D64" s="11" t="n">
        <v>3</v>
      </c>
      <c r="E64" s="25" t="n">
        <v>81.6</v>
      </c>
      <c r="F64" s="25" t="n">
        <v>166.3</v>
      </c>
      <c r="G64" s="11" t="s">
        <v>80</v>
      </c>
      <c r="H64" s="24" t="str">
        <f aca="false">IF(B64="Squat",IF(AND(E64&lt;=Summary!$B$7,OR(F64="",F64&lt;=Summary!$B$8)),"Correct","Incorrect"),IF(AND(E64&lt;=Summary!$B$9,OR(F64="",F64&gt;=Summary!$B$10)),"Correct","Incorrect"))</f>
        <v>Correct</v>
      </c>
      <c r="I64" s="26" t="s">
        <v>80</v>
      </c>
      <c r="J64" s="11" t="s">
        <v>78</v>
      </c>
      <c r="K64" s="24" t="str">
        <f aca="false">IF(J64="Yes",IF(I64="Correct","Incorrect","Correct"),I64)</f>
        <v>Correct</v>
      </c>
      <c r="L64" s="24" t="str">
        <f aca="false">IF(I64="Incorrect",IF(H64="Incorrect","TP","FN"),IF(H64="Incorrect","FP","TN"))</f>
        <v>TN</v>
      </c>
      <c r="M64" s="24" t="n">
        <f aca="false">IF(H64=I64,1,0)</f>
        <v>1</v>
      </c>
      <c r="N64" s="24" t="n">
        <f aca="false">IF(G64=I64,1,0)</f>
        <v>1</v>
      </c>
      <c r="O64" s="24" t="n">
        <f aca="false">IF(H64=K64,1,0)</f>
        <v>1</v>
      </c>
      <c r="P64" s="24"/>
      <c r="Q64" s="24" t="s">
        <v>82</v>
      </c>
    </row>
    <row r="65" customFormat="false" ht="15" hidden="false" customHeight="false" outlineLevel="0" collapsed="false">
      <c r="A65" s="11" t="s">
        <v>59</v>
      </c>
      <c r="B65" s="11" t="s">
        <v>31</v>
      </c>
      <c r="C65" s="11" t="n">
        <v>1</v>
      </c>
      <c r="D65" s="11" t="n">
        <v>4</v>
      </c>
      <c r="E65" s="25" t="n">
        <v>62.5</v>
      </c>
      <c r="F65" s="25" t="n">
        <v>166.7</v>
      </c>
      <c r="G65" s="11" t="s">
        <v>80</v>
      </c>
      <c r="H65" s="24" t="str">
        <f aca="false">IF(B65="Squat",IF(AND(E65&lt;=Summary!$B$7,OR(F65="",F65&lt;=Summary!$B$8)),"Correct","Incorrect"),IF(AND(E65&lt;=Summary!$B$9,OR(F65="",F65&gt;=Summary!$B$10)),"Correct","Incorrect"))</f>
        <v>Correct</v>
      </c>
      <c r="I65" s="26" t="s">
        <v>80</v>
      </c>
      <c r="J65" s="11" t="s">
        <v>78</v>
      </c>
      <c r="K65" s="24" t="str">
        <f aca="false">IF(J65="Yes",IF(I65="Correct","Incorrect","Correct"),I65)</f>
        <v>Correct</v>
      </c>
      <c r="L65" s="24" t="str">
        <f aca="false">IF(I65="Incorrect",IF(H65="Incorrect","TP","FN"),IF(H65="Incorrect","FP","TN"))</f>
        <v>TN</v>
      </c>
      <c r="M65" s="24" t="n">
        <f aca="false">IF(H65=I65,1,0)</f>
        <v>1</v>
      </c>
      <c r="N65" s="24" t="n">
        <f aca="false">IF(G65=I65,1,0)</f>
        <v>1</v>
      </c>
      <c r="O65" s="24" t="n">
        <f aca="false">IF(H65=K65,1,0)</f>
        <v>1</v>
      </c>
      <c r="P65" s="24"/>
      <c r="Q65" s="24" t="s">
        <v>82</v>
      </c>
    </row>
    <row r="66" customFormat="false" ht="15" hidden="false" customHeight="false" outlineLevel="0" collapsed="false">
      <c r="A66" s="11" t="s">
        <v>59</v>
      </c>
      <c r="B66" s="11" t="s">
        <v>31</v>
      </c>
      <c r="C66" s="11" t="n">
        <v>1</v>
      </c>
      <c r="D66" s="11" t="n">
        <v>5</v>
      </c>
      <c r="E66" s="25" t="n">
        <v>88.8</v>
      </c>
      <c r="F66" s="25" t="n">
        <v>167.6</v>
      </c>
      <c r="G66" s="11" t="s">
        <v>80</v>
      </c>
      <c r="H66" s="24" t="str">
        <f aca="false">IF(B66="Squat",IF(AND(E66&lt;=Summary!$B$7,OR(F66="",F66&lt;=Summary!$B$8)),"Correct","Incorrect"),IF(AND(E66&lt;=Summary!$B$9,OR(F66="",F66&gt;=Summary!$B$10)),"Correct","Incorrect"))</f>
        <v>Correct</v>
      </c>
      <c r="I66" s="26" t="s">
        <v>80</v>
      </c>
      <c r="J66" s="11" t="s">
        <v>78</v>
      </c>
      <c r="K66" s="24" t="str">
        <f aca="false">IF(J66="Yes",IF(I66="Correct","Incorrect","Correct"),I66)</f>
        <v>Correct</v>
      </c>
      <c r="L66" s="24" t="str">
        <f aca="false">IF(I66="Incorrect",IF(H66="Incorrect","TP","FN"),IF(H66="Incorrect","FP","TN"))</f>
        <v>TN</v>
      </c>
      <c r="M66" s="24" t="n">
        <f aca="false">IF(H66=I66,1,0)</f>
        <v>1</v>
      </c>
      <c r="N66" s="24" t="n">
        <f aca="false">IF(G66=I66,1,0)</f>
        <v>1</v>
      </c>
      <c r="O66" s="24" t="n">
        <f aca="false">IF(H66=K66,1,0)</f>
        <v>1</v>
      </c>
      <c r="P66" s="24"/>
      <c r="Q66" s="24" t="s">
        <v>82</v>
      </c>
    </row>
    <row r="67" customFormat="false" ht="15" hidden="false" customHeight="false" outlineLevel="0" collapsed="false">
      <c r="A67" s="11" t="s">
        <v>59</v>
      </c>
      <c r="B67" s="11" t="s">
        <v>31</v>
      </c>
      <c r="C67" s="11" t="n">
        <v>1</v>
      </c>
      <c r="D67" s="11" t="n">
        <v>6</v>
      </c>
      <c r="E67" s="25" t="n">
        <v>70.4</v>
      </c>
      <c r="F67" s="25" t="n">
        <v>167</v>
      </c>
      <c r="G67" s="11" t="s">
        <v>80</v>
      </c>
      <c r="H67" s="24" t="str">
        <f aca="false">IF(B67="Squat",IF(AND(E67&lt;=Summary!$B$7,OR(F67="",F67&lt;=Summary!$B$8)),"Correct","Incorrect"),IF(AND(E67&lt;=Summary!$B$9,OR(F67="",F67&gt;=Summary!$B$10)),"Correct","Incorrect"))</f>
        <v>Correct</v>
      </c>
      <c r="I67" s="26" t="s">
        <v>80</v>
      </c>
      <c r="J67" s="11" t="s">
        <v>78</v>
      </c>
      <c r="K67" s="24" t="str">
        <f aca="false">IF(J67="Yes",IF(I67="Correct","Incorrect","Correct"),I67)</f>
        <v>Correct</v>
      </c>
      <c r="L67" s="24" t="str">
        <f aca="false">IF(I67="Incorrect",IF(H67="Incorrect","TP","FN"),IF(H67="Incorrect","FP","TN"))</f>
        <v>TN</v>
      </c>
      <c r="M67" s="24" t="n">
        <f aca="false">IF(H67=I67,1,0)</f>
        <v>1</v>
      </c>
      <c r="N67" s="24" t="n">
        <f aca="false">IF(G67=I67,1,0)</f>
        <v>1</v>
      </c>
      <c r="O67" s="24" t="n">
        <f aca="false">IF(H67=K67,1,0)</f>
        <v>1</v>
      </c>
      <c r="P67" s="24"/>
      <c r="Q67" s="24" t="s">
        <v>82</v>
      </c>
    </row>
    <row r="68" customFormat="false" ht="15" hidden="false" customHeight="false" outlineLevel="0" collapsed="false">
      <c r="A68" s="11" t="s">
        <v>59</v>
      </c>
      <c r="B68" s="11" t="s">
        <v>31</v>
      </c>
      <c r="C68" s="11" t="n">
        <v>1</v>
      </c>
      <c r="D68" s="11" t="n">
        <v>7</v>
      </c>
      <c r="E68" s="25" t="n">
        <v>86.6</v>
      </c>
      <c r="F68" s="25" t="n">
        <v>166</v>
      </c>
      <c r="G68" s="11" t="s">
        <v>80</v>
      </c>
      <c r="H68" s="24" t="str">
        <f aca="false">IF(B68="Squat",IF(AND(E68&lt;=Summary!$B$7,OR(F68="",F68&lt;=Summary!$B$8)),"Correct","Incorrect"),IF(AND(E68&lt;=Summary!$B$9,OR(F68="",F68&gt;=Summary!$B$10)),"Correct","Incorrect"))</f>
        <v>Correct</v>
      </c>
      <c r="I68" s="26" t="s">
        <v>80</v>
      </c>
      <c r="J68" s="11" t="s">
        <v>78</v>
      </c>
      <c r="K68" s="24" t="str">
        <f aca="false">IF(J68="Yes",IF(I68="Correct","Incorrect","Correct"),I68)</f>
        <v>Correct</v>
      </c>
      <c r="L68" s="24" t="str">
        <f aca="false">IF(I68="Incorrect",IF(H68="Incorrect","TP","FN"),IF(H68="Incorrect","FP","TN"))</f>
        <v>TN</v>
      </c>
      <c r="M68" s="24" t="n">
        <f aca="false">IF(H68=I68,1,0)</f>
        <v>1</v>
      </c>
      <c r="N68" s="24" t="n">
        <f aca="false">IF(G68=I68,1,0)</f>
        <v>1</v>
      </c>
      <c r="O68" s="24" t="n">
        <f aca="false">IF(H68=K68,1,0)</f>
        <v>1</v>
      </c>
      <c r="P68" s="24"/>
      <c r="Q68" s="24" t="s">
        <v>82</v>
      </c>
    </row>
    <row r="69" customFormat="false" ht="15" hidden="false" customHeight="false" outlineLevel="0" collapsed="false">
      <c r="A69" s="11" t="s">
        <v>59</v>
      </c>
      <c r="B69" s="11" t="s">
        <v>31</v>
      </c>
      <c r="C69" s="11" t="n">
        <v>1</v>
      </c>
      <c r="D69" s="11" t="n">
        <v>8</v>
      </c>
      <c r="E69" s="25" t="n">
        <v>91.8</v>
      </c>
      <c r="F69" s="25" t="n">
        <v>166.1</v>
      </c>
      <c r="G69" s="11" t="s">
        <v>80</v>
      </c>
      <c r="H69" s="24" t="str">
        <f aca="false">IF(B69="Squat",IF(AND(E69&lt;=Summary!$B$7,OR(F69="",F69&lt;=Summary!$B$8)),"Correct","Incorrect"),IF(AND(E69&lt;=Summary!$B$9,OR(F69="",F69&gt;=Summary!$B$10)),"Correct","Incorrect"))</f>
        <v>Correct</v>
      </c>
      <c r="I69" s="26" t="s">
        <v>80</v>
      </c>
      <c r="J69" s="11" t="s">
        <v>78</v>
      </c>
      <c r="K69" s="24" t="str">
        <f aca="false">IF(J69="Yes",IF(I69="Correct","Incorrect","Correct"),I69)</f>
        <v>Correct</v>
      </c>
      <c r="L69" s="24" t="str">
        <f aca="false">IF(I69="Incorrect",IF(H69="Incorrect","TP","FN"),IF(H69="Incorrect","FP","TN"))</f>
        <v>TN</v>
      </c>
      <c r="M69" s="24" t="n">
        <f aca="false">IF(H69=I69,1,0)</f>
        <v>1</v>
      </c>
      <c r="N69" s="24" t="n">
        <f aca="false">IF(G69=I69,1,0)</f>
        <v>1</v>
      </c>
      <c r="O69" s="24" t="n">
        <f aca="false">IF(H69=K69,1,0)</f>
        <v>1</v>
      </c>
      <c r="P69" s="24"/>
      <c r="Q69" s="24" t="s">
        <v>82</v>
      </c>
    </row>
    <row r="70" customFormat="false" ht="15" hidden="false" customHeight="false" outlineLevel="0" collapsed="false">
      <c r="A70" s="11" t="s">
        <v>59</v>
      </c>
      <c r="B70" s="11" t="s">
        <v>31</v>
      </c>
      <c r="C70" s="11" t="n">
        <v>1</v>
      </c>
      <c r="D70" s="11" t="n">
        <v>9</v>
      </c>
      <c r="E70" s="25" t="n">
        <v>79.4</v>
      </c>
      <c r="F70" s="25" t="n">
        <v>166.1</v>
      </c>
      <c r="G70" s="11" t="s">
        <v>80</v>
      </c>
      <c r="H70" s="24" t="str">
        <f aca="false">IF(B70="Squat",IF(AND(E70&lt;=Summary!$B$7,OR(F70="",F70&lt;=Summary!$B$8)),"Correct","Incorrect"),IF(AND(E70&lt;=Summary!$B$9,OR(F70="",F70&gt;=Summary!$B$10)),"Correct","Incorrect"))</f>
        <v>Correct</v>
      </c>
      <c r="I70" s="26" t="s">
        <v>80</v>
      </c>
      <c r="J70" s="11" t="s">
        <v>78</v>
      </c>
      <c r="K70" s="24" t="str">
        <f aca="false">IF(J70="Yes",IF(I70="Correct","Incorrect","Correct"),I70)</f>
        <v>Correct</v>
      </c>
      <c r="L70" s="24" t="str">
        <f aca="false">IF(I70="Incorrect",IF(H70="Incorrect","TP","FN"),IF(H70="Incorrect","FP","TN"))</f>
        <v>TN</v>
      </c>
      <c r="M70" s="24" t="n">
        <f aca="false">IF(H70=I70,1,0)</f>
        <v>1</v>
      </c>
      <c r="N70" s="24" t="n">
        <f aca="false">IF(G70=I70,1,0)</f>
        <v>1</v>
      </c>
      <c r="O70" s="24" t="n">
        <f aca="false">IF(H70=K70,1,0)</f>
        <v>1</v>
      </c>
      <c r="P70" s="24"/>
      <c r="Q70" s="24" t="s">
        <v>82</v>
      </c>
    </row>
    <row r="71" customFormat="false" ht="15" hidden="false" customHeight="false" outlineLevel="0" collapsed="false">
      <c r="A71" s="11" t="s">
        <v>59</v>
      </c>
      <c r="B71" s="11" t="s">
        <v>31</v>
      </c>
      <c r="C71" s="11" t="n">
        <v>1</v>
      </c>
      <c r="D71" s="11" t="n">
        <v>10</v>
      </c>
      <c r="E71" s="25" t="n">
        <v>81</v>
      </c>
      <c r="F71" s="25" t="n">
        <v>171.9</v>
      </c>
      <c r="G71" s="11" t="s">
        <v>80</v>
      </c>
      <c r="H71" s="24" t="str">
        <f aca="false">IF(B71="Squat",IF(AND(E71&lt;=Summary!$B$7,OR(F71="",F71&lt;=Summary!$B$8)),"Correct","Incorrect"),IF(AND(E71&lt;=Summary!$B$9,OR(F71="",F71&gt;=Summary!$B$10)),"Correct","Incorrect"))</f>
        <v>Correct</v>
      </c>
      <c r="I71" s="26" t="s">
        <v>80</v>
      </c>
      <c r="J71" s="11" t="s">
        <v>78</v>
      </c>
      <c r="K71" s="24" t="str">
        <f aca="false">IF(J71="Yes",IF(I71="Correct","Incorrect","Correct"),I71)</f>
        <v>Correct</v>
      </c>
      <c r="L71" s="24" t="str">
        <f aca="false">IF(I71="Incorrect",IF(H71="Incorrect","TP","FN"),IF(H71="Incorrect","FP","TN"))</f>
        <v>TN</v>
      </c>
      <c r="M71" s="24" t="n">
        <f aca="false">IF(H71=I71,1,0)</f>
        <v>1</v>
      </c>
      <c r="N71" s="24" t="n">
        <f aca="false">IF(G71=I71,1,0)</f>
        <v>1</v>
      </c>
      <c r="O71" s="24" t="n">
        <f aca="false">IF(H71=K71,1,0)</f>
        <v>1</v>
      </c>
      <c r="P71" s="24"/>
      <c r="Q71" s="24" t="s">
        <v>82</v>
      </c>
    </row>
    <row r="72" customFormat="false" ht="15" hidden="false" customHeight="false" outlineLevel="0" collapsed="false">
      <c r="A72" s="11" t="s">
        <v>59</v>
      </c>
      <c r="B72" s="11" t="s">
        <v>31</v>
      </c>
      <c r="C72" s="11" t="n">
        <v>2</v>
      </c>
      <c r="D72" s="11" t="n">
        <v>1</v>
      </c>
      <c r="E72" s="25" t="n">
        <v>78.8</v>
      </c>
      <c r="F72" s="25" t="n">
        <v>174.3</v>
      </c>
      <c r="G72" s="11" t="s">
        <v>80</v>
      </c>
      <c r="H72" s="24" t="str">
        <f aca="false">IF(B72="Squat",IF(AND(E72&lt;=Summary!$B$7,OR(F72="",F72&lt;=Summary!$B$8)),"Correct","Incorrect"),IF(AND(E72&lt;=Summary!$B$9,OR(F72="",F72&gt;=Summary!$B$10)),"Correct","Incorrect"))</f>
        <v>Correct</v>
      </c>
      <c r="I72" s="26" t="s">
        <v>80</v>
      </c>
      <c r="J72" s="11" t="s">
        <v>78</v>
      </c>
      <c r="K72" s="24" t="str">
        <f aca="false">IF(J72="Yes",IF(I72="Correct","Incorrect","Correct"),I72)</f>
        <v>Correct</v>
      </c>
      <c r="L72" s="24" t="str">
        <f aca="false">IF(I72="Incorrect",IF(H72="Incorrect","TP","FN"),IF(H72="Incorrect","FP","TN"))</f>
        <v>TN</v>
      </c>
      <c r="M72" s="24" t="n">
        <f aca="false">IF(H72=I72,1,0)</f>
        <v>1</v>
      </c>
      <c r="N72" s="24" t="n">
        <f aca="false">IF(G72=I72,1,0)</f>
        <v>1</v>
      </c>
      <c r="O72" s="24" t="n">
        <f aca="false">IF(H72=K72,1,0)</f>
        <v>1</v>
      </c>
      <c r="P72" s="24"/>
      <c r="Q72" s="24" t="s">
        <v>82</v>
      </c>
    </row>
    <row r="73" customFormat="false" ht="15" hidden="false" customHeight="false" outlineLevel="0" collapsed="false">
      <c r="A73" s="11" t="s">
        <v>59</v>
      </c>
      <c r="B73" s="11" t="s">
        <v>31</v>
      </c>
      <c r="C73" s="11" t="n">
        <v>2</v>
      </c>
      <c r="D73" s="11" t="n">
        <v>2</v>
      </c>
      <c r="E73" s="25" t="n">
        <v>94.7</v>
      </c>
      <c r="F73" s="25" t="n">
        <v>171</v>
      </c>
      <c r="G73" s="11" t="s">
        <v>80</v>
      </c>
      <c r="H73" s="24" t="str">
        <f aca="false">IF(B73="Squat",IF(AND(E73&lt;=Summary!$B$7,OR(F73="",F73&lt;=Summary!$B$8)),"Correct","Incorrect"),IF(AND(E73&lt;=Summary!$B$9,OR(F73="",F73&gt;=Summary!$B$10)),"Correct","Incorrect"))</f>
        <v>Correct</v>
      </c>
      <c r="I73" s="26" t="s">
        <v>80</v>
      </c>
      <c r="J73" s="11" t="s">
        <v>78</v>
      </c>
      <c r="K73" s="24" t="str">
        <f aca="false">IF(J73="Yes",IF(I73="Correct","Incorrect","Correct"),I73)</f>
        <v>Correct</v>
      </c>
      <c r="L73" s="24" t="str">
        <f aca="false">IF(I73="Incorrect",IF(H73="Incorrect","TP","FN"),IF(H73="Incorrect","FP","TN"))</f>
        <v>TN</v>
      </c>
      <c r="M73" s="24" t="n">
        <f aca="false">IF(H73=I73,1,0)</f>
        <v>1</v>
      </c>
      <c r="N73" s="24" t="n">
        <f aca="false">IF(G73=I73,1,0)</f>
        <v>1</v>
      </c>
      <c r="O73" s="24" t="n">
        <f aca="false">IF(H73=K73,1,0)</f>
        <v>1</v>
      </c>
      <c r="P73" s="24"/>
      <c r="Q73" s="24" t="s">
        <v>82</v>
      </c>
    </row>
    <row r="74" customFormat="false" ht="15" hidden="false" customHeight="false" outlineLevel="0" collapsed="false">
      <c r="A74" s="11" t="s">
        <v>59</v>
      </c>
      <c r="B74" s="11" t="s">
        <v>31</v>
      </c>
      <c r="C74" s="11" t="n">
        <v>2</v>
      </c>
      <c r="D74" s="11" t="n">
        <v>3</v>
      </c>
      <c r="E74" s="25" t="n">
        <v>88.8</v>
      </c>
      <c r="F74" s="25" t="n">
        <v>169</v>
      </c>
      <c r="G74" s="11" t="s">
        <v>80</v>
      </c>
      <c r="H74" s="24" t="str">
        <f aca="false">IF(B74="Squat",IF(AND(E74&lt;=Summary!$B$7,OR(F74="",F74&lt;=Summary!$B$8)),"Correct","Incorrect"),IF(AND(E74&lt;=Summary!$B$9,OR(F74="",F74&gt;=Summary!$B$10)),"Correct","Incorrect"))</f>
        <v>Correct</v>
      </c>
      <c r="I74" s="26" t="s">
        <v>80</v>
      </c>
      <c r="J74" s="11" t="s">
        <v>78</v>
      </c>
      <c r="K74" s="24" t="str">
        <f aca="false">IF(J74="Yes",IF(I74="Correct","Incorrect","Correct"),I74)</f>
        <v>Correct</v>
      </c>
      <c r="L74" s="24" t="str">
        <f aca="false">IF(I74="Incorrect",IF(H74="Incorrect","TP","FN"),IF(H74="Incorrect","FP","TN"))</f>
        <v>TN</v>
      </c>
      <c r="M74" s="24" t="n">
        <f aca="false">IF(H74=I74,1,0)</f>
        <v>1</v>
      </c>
      <c r="N74" s="24" t="n">
        <f aca="false">IF(G74=I74,1,0)</f>
        <v>1</v>
      </c>
      <c r="O74" s="24" t="n">
        <f aca="false">IF(H74=K74,1,0)</f>
        <v>1</v>
      </c>
      <c r="P74" s="24"/>
      <c r="Q74" s="24" t="s">
        <v>82</v>
      </c>
    </row>
    <row r="75" customFormat="false" ht="15" hidden="false" customHeight="false" outlineLevel="0" collapsed="false">
      <c r="A75" s="11" t="s">
        <v>59</v>
      </c>
      <c r="B75" s="11" t="s">
        <v>31</v>
      </c>
      <c r="C75" s="11" t="n">
        <v>2</v>
      </c>
      <c r="D75" s="11" t="n">
        <v>4</v>
      </c>
      <c r="E75" s="25" t="n">
        <v>86.7</v>
      </c>
      <c r="F75" s="25" t="n">
        <v>168.3</v>
      </c>
      <c r="G75" s="11" t="s">
        <v>80</v>
      </c>
      <c r="H75" s="24" t="str">
        <f aca="false">IF(B75="Squat",IF(AND(E75&lt;=Summary!$B$7,OR(F75="",F75&lt;=Summary!$B$8)),"Correct","Incorrect"),IF(AND(E75&lt;=Summary!$B$9,OR(F75="",F75&gt;=Summary!$B$10)),"Correct","Incorrect"))</f>
        <v>Correct</v>
      </c>
      <c r="I75" s="26" t="s">
        <v>80</v>
      </c>
      <c r="J75" s="11" t="s">
        <v>78</v>
      </c>
      <c r="K75" s="24" t="str">
        <f aca="false">IF(J75="Yes",IF(I75="Correct","Incorrect","Correct"),I75)</f>
        <v>Correct</v>
      </c>
      <c r="L75" s="24" t="str">
        <f aca="false">IF(I75="Incorrect",IF(H75="Incorrect","TP","FN"),IF(H75="Incorrect","FP","TN"))</f>
        <v>TN</v>
      </c>
      <c r="M75" s="24" t="n">
        <f aca="false">IF(H75=I75,1,0)</f>
        <v>1</v>
      </c>
      <c r="N75" s="24" t="n">
        <f aca="false">IF(G75=I75,1,0)</f>
        <v>1</v>
      </c>
      <c r="O75" s="24" t="n">
        <f aca="false">IF(H75=K75,1,0)</f>
        <v>1</v>
      </c>
      <c r="P75" s="24"/>
      <c r="Q75" s="24" t="s">
        <v>82</v>
      </c>
    </row>
    <row r="76" customFormat="false" ht="15" hidden="false" customHeight="false" outlineLevel="0" collapsed="false">
      <c r="A76" s="11" t="s">
        <v>59</v>
      </c>
      <c r="B76" s="11" t="s">
        <v>31</v>
      </c>
      <c r="C76" s="11" t="n">
        <v>2</v>
      </c>
      <c r="D76" s="11" t="n">
        <v>5</v>
      </c>
      <c r="E76" s="25" t="n">
        <v>86.2</v>
      </c>
      <c r="F76" s="25" t="n">
        <v>169.8</v>
      </c>
      <c r="G76" s="11" t="s">
        <v>80</v>
      </c>
      <c r="H76" s="24" t="str">
        <f aca="false">IF(B76="Squat",IF(AND(E76&lt;=Summary!$B$7,OR(F76="",F76&lt;=Summary!$B$8)),"Correct","Incorrect"),IF(AND(E76&lt;=Summary!$B$9,OR(F76="",F76&gt;=Summary!$B$10)),"Correct","Incorrect"))</f>
        <v>Correct</v>
      </c>
      <c r="I76" s="26" t="s">
        <v>80</v>
      </c>
      <c r="J76" s="11" t="s">
        <v>78</v>
      </c>
      <c r="K76" s="24" t="str">
        <f aca="false">IF(J76="Yes",IF(I76="Correct","Incorrect","Correct"),I76)</f>
        <v>Correct</v>
      </c>
      <c r="L76" s="24" t="str">
        <f aca="false">IF(I76="Incorrect",IF(H76="Incorrect","TP","FN"),IF(H76="Incorrect","FP","TN"))</f>
        <v>TN</v>
      </c>
      <c r="M76" s="24" t="n">
        <f aca="false">IF(H76=I76,1,0)</f>
        <v>1</v>
      </c>
      <c r="N76" s="24" t="n">
        <f aca="false">IF(G76=I76,1,0)</f>
        <v>1</v>
      </c>
      <c r="O76" s="24" t="n">
        <f aca="false">IF(H76=K76,1,0)</f>
        <v>1</v>
      </c>
      <c r="P76" s="24"/>
      <c r="Q76" s="24" t="s">
        <v>82</v>
      </c>
    </row>
    <row r="77" customFormat="false" ht="15" hidden="false" customHeight="false" outlineLevel="0" collapsed="false">
      <c r="A77" s="11" t="s">
        <v>59</v>
      </c>
      <c r="B77" s="11" t="s">
        <v>31</v>
      </c>
      <c r="C77" s="11" t="n">
        <v>2</v>
      </c>
      <c r="D77" s="11" t="n">
        <v>6</v>
      </c>
      <c r="E77" s="25" t="n">
        <v>87.1</v>
      </c>
      <c r="F77" s="25" t="n">
        <v>170.3</v>
      </c>
      <c r="G77" s="11" t="s">
        <v>80</v>
      </c>
      <c r="H77" s="24" t="str">
        <f aca="false">IF(B77="Squat",IF(AND(E77&lt;=Summary!$B$7,OR(F77="",F77&lt;=Summary!$B$8)),"Correct","Incorrect"),IF(AND(E77&lt;=Summary!$B$9,OR(F77="",F77&gt;=Summary!$B$10)),"Correct","Incorrect"))</f>
        <v>Correct</v>
      </c>
      <c r="I77" s="26" t="s">
        <v>80</v>
      </c>
      <c r="J77" s="11" t="s">
        <v>78</v>
      </c>
      <c r="K77" s="24" t="str">
        <f aca="false">IF(J77="Yes",IF(I77="Correct","Incorrect","Correct"),I77)</f>
        <v>Correct</v>
      </c>
      <c r="L77" s="24" t="str">
        <f aca="false">IF(I77="Incorrect",IF(H77="Incorrect","TP","FN"),IF(H77="Incorrect","FP","TN"))</f>
        <v>TN</v>
      </c>
      <c r="M77" s="24" t="n">
        <f aca="false">IF(H77=I77,1,0)</f>
        <v>1</v>
      </c>
      <c r="N77" s="24" t="n">
        <f aca="false">IF(G77=I77,1,0)</f>
        <v>1</v>
      </c>
      <c r="O77" s="24" t="n">
        <f aca="false">IF(H77=K77,1,0)</f>
        <v>1</v>
      </c>
      <c r="P77" s="24"/>
      <c r="Q77" s="24" t="s">
        <v>82</v>
      </c>
    </row>
    <row r="78" customFormat="false" ht="15" hidden="false" customHeight="false" outlineLevel="0" collapsed="false">
      <c r="A78" s="11" t="s">
        <v>59</v>
      </c>
      <c r="B78" s="11" t="s">
        <v>31</v>
      </c>
      <c r="C78" s="11" t="n">
        <v>2</v>
      </c>
      <c r="D78" s="11" t="n">
        <v>7</v>
      </c>
      <c r="E78" s="25" t="n">
        <v>82.2</v>
      </c>
      <c r="F78" s="25" t="n">
        <v>169.2</v>
      </c>
      <c r="G78" s="11" t="s">
        <v>80</v>
      </c>
      <c r="H78" s="24" t="str">
        <f aca="false">IF(B78="Squat",IF(AND(E78&lt;=Summary!$B$7,OR(F78="",F78&lt;=Summary!$B$8)),"Correct","Incorrect"),IF(AND(E78&lt;=Summary!$B$9,OR(F78="",F78&gt;=Summary!$B$10)),"Correct","Incorrect"))</f>
        <v>Correct</v>
      </c>
      <c r="I78" s="26" t="s">
        <v>80</v>
      </c>
      <c r="J78" s="11" t="s">
        <v>78</v>
      </c>
      <c r="K78" s="24" t="str">
        <f aca="false">IF(J78="Yes",IF(I78="Correct","Incorrect","Correct"),I78)</f>
        <v>Correct</v>
      </c>
      <c r="L78" s="24" t="str">
        <f aca="false">IF(I78="Incorrect",IF(H78="Incorrect","TP","FN"),IF(H78="Incorrect","FP","TN"))</f>
        <v>TN</v>
      </c>
      <c r="M78" s="24" t="n">
        <f aca="false">IF(H78=I78,1,0)</f>
        <v>1</v>
      </c>
      <c r="N78" s="24" t="n">
        <f aca="false">IF(G78=I78,1,0)</f>
        <v>1</v>
      </c>
      <c r="O78" s="24" t="n">
        <f aca="false">IF(H78=K78,1,0)</f>
        <v>1</v>
      </c>
      <c r="P78" s="24"/>
      <c r="Q78" s="24" t="s">
        <v>82</v>
      </c>
    </row>
    <row r="79" customFormat="false" ht="15" hidden="false" customHeight="false" outlineLevel="0" collapsed="false">
      <c r="A79" s="11" t="s">
        <v>59</v>
      </c>
      <c r="B79" s="11" t="s">
        <v>31</v>
      </c>
      <c r="C79" s="11" t="n">
        <v>2</v>
      </c>
      <c r="D79" s="11" t="n">
        <v>8</v>
      </c>
      <c r="E79" s="25" t="n">
        <v>81.3</v>
      </c>
      <c r="F79" s="25" t="n">
        <v>167.7</v>
      </c>
      <c r="G79" s="11" t="s">
        <v>80</v>
      </c>
      <c r="H79" s="24" t="str">
        <f aca="false">IF(B79="Squat",IF(AND(E79&lt;=Summary!$B$7,OR(F79="",F79&lt;=Summary!$B$8)),"Correct","Incorrect"),IF(AND(E79&lt;=Summary!$B$9,OR(F79="",F79&gt;=Summary!$B$10)),"Correct","Incorrect"))</f>
        <v>Correct</v>
      </c>
      <c r="I79" s="26" t="s">
        <v>80</v>
      </c>
      <c r="J79" s="11" t="s">
        <v>78</v>
      </c>
      <c r="K79" s="24" t="str">
        <f aca="false">IF(J79="Yes",IF(I79="Correct","Incorrect","Correct"),I79)</f>
        <v>Correct</v>
      </c>
      <c r="L79" s="24" t="str">
        <f aca="false">IF(I79="Incorrect",IF(H79="Incorrect","TP","FN"),IF(H79="Incorrect","FP","TN"))</f>
        <v>TN</v>
      </c>
      <c r="M79" s="24" t="n">
        <f aca="false">IF(H79=I79,1,0)</f>
        <v>1</v>
      </c>
      <c r="N79" s="24" t="n">
        <f aca="false">IF(G79=I79,1,0)</f>
        <v>1</v>
      </c>
      <c r="O79" s="24" t="n">
        <f aca="false">IF(H79=K79,1,0)</f>
        <v>1</v>
      </c>
      <c r="P79" s="24"/>
      <c r="Q79" s="24" t="s">
        <v>82</v>
      </c>
    </row>
    <row r="80" customFormat="false" ht="15" hidden="false" customHeight="false" outlineLevel="0" collapsed="false">
      <c r="A80" s="11" t="s">
        <v>59</v>
      </c>
      <c r="B80" s="11" t="s">
        <v>31</v>
      </c>
      <c r="C80" s="11" t="n">
        <v>2</v>
      </c>
      <c r="D80" s="11" t="n">
        <v>9</v>
      </c>
      <c r="E80" s="25" t="n">
        <v>84.1</v>
      </c>
      <c r="F80" s="25" t="n">
        <v>165.4</v>
      </c>
      <c r="G80" s="11" t="s">
        <v>80</v>
      </c>
      <c r="H80" s="24" t="str">
        <f aca="false">IF(B80="Squat",IF(AND(E80&lt;=Summary!$B$7,OR(F80="",F80&lt;=Summary!$B$8)),"Correct","Incorrect"),IF(AND(E80&lt;=Summary!$B$9,OR(F80="",F80&gt;=Summary!$B$10)),"Correct","Incorrect"))</f>
        <v>Correct</v>
      </c>
      <c r="I80" s="26" t="s">
        <v>80</v>
      </c>
      <c r="J80" s="11" t="s">
        <v>78</v>
      </c>
      <c r="K80" s="24" t="str">
        <f aca="false">IF(J80="Yes",IF(I80="Correct","Incorrect","Correct"),I80)</f>
        <v>Correct</v>
      </c>
      <c r="L80" s="24" t="str">
        <f aca="false">IF(I80="Incorrect",IF(H80="Incorrect","TP","FN"),IF(H80="Incorrect","FP","TN"))</f>
        <v>TN</v>
      </c>
      <c r="M80" s="24" t="n">
        <f aca="false">IF(H80=I80,1,0)</f>
        <v>1</v>
      </c>
      <c r="N80" s="24" t="n">
        <f aca="false">IF(G80=I80,1,0)</f>
        <v>1</v>
      </c>
      <c r="O80" s="24" t="n">
        <f aca="false">IF(H80=K80,1,0)</f>
        <v>1</v>
      </c>
      <c r="P80" s="24"/>
      <c r="Q80" s="24" t="s">
        <v>82</v>
      </c>
    </row>
    <row r="81" customFormat="false" ht="15" hidden="false" customHeight="false" outlineLevel="0" collapsed="false">
      <c r="A81" s="11" t="s">
        <v>59</v>
      </c>
      <c r="B81" s="11" t="s">
        <v>31</v>
      </c>
      <c r="C81" s="11" t="n">
        <v>2</v>
      </c>
      <c r="D81" s="11" t="n">
        <v>10</v>
      </c>
      <c r="E81" s="25" t="n">
        <v>67.6</v>
      </c>
      <c r="F81" s="25" t="n">
        <v>166.5</v>
      </c>
      <c r="G81" s="11" t="s">
        <v>80</v>
      </c>
      <c r="H81" s="24" t="str">
        <f aca="false">IF(B81="Squat",IF(AND(E81&lt;=Summary!$B$7,OR(F81="",F81&lt;=Summary!$B$8)),"Correct","Incorrect"),IF(AND(E81&lt;=Summary!$B$9,OR(F81="",F81&gt;=Summary!$B$10)),"Correct","Incorrect"))</f>
        <v>Correct</v>
      </c>
      <c r="I81" s="26" t="s">
        <v>80</v>
      </c>
      <c r="J81" s="11" t="s">
        <v>78</v>
      </c>
      <c r="K81" s="24" t="str">
        <f aca="false">IF(J81="Yes",IF(I81="Correct","Incorrect","Correct"),I81)</f>
        <v>Correct</v>
      </c>
      <c r="L81" s="24" t="str">
        <f aca="false">IF(I81="Incorrect",IF(H81="Incorrect","TP","FN"),IF(H81="Incorrect","FP","TN"))</f>
        <v>TN</v>
      </c>
      <c r="M81" s="24" t="n">
        <f aca="false">IF(H81=I81,1,0)</f>
        <v>1</v>
      </c>
      <c r="N81" s="24" t="n">
        <f aca="false">IF(G81=I81,1,0)</f>
        <v>1</v>
      </c>
      <c r="O81" s="24" t="n">
        <f aca="false">IF(H81=K81,1,0)</f>
        <v>1</v>
      </c>
      <c r="P81" s="24"/>
      <c r="Q81" s="24" t="s">
        <v>82</v>
      </c>
    </row>
    <row r="82" customFormat="false" ht="15" hidden="false" customHeight="false" outlineLevel="0" collapsed="false">
      <c r="A82" s="11" t="s">
        <v>59</v>
      </c>
      <c r="B82" s="11" t="s">
        <v>31</v>
      </c>
      <c r="C82" s="11" t="n">
        <v>3</v>
      </c>
      <c r="D82" s="11" t="n">
        <v>1</v>
      </c>
      <c r="E82" s="25" t="n">
        <v>70.7</v>
      </c>
      <c r="F82" s="25" t="n">
        <v>168.9</v>
      </c>
      <c r="G82" s="11" t="s">
        <v>80</v>
      </c>
      <c r="H82" s="24" t="str">
        <f aca="false">IF(B82="Squat",IF(AND(E82&lt;=Summary!$B$7,OR(F82="",F82&lt;=Summary!$B$8)),"Correct","Incorrect"),IF(AND(E82&lt;=Summary!$B$9,OR(F82="",F82&gt;=Summary!$B$10)),"Correct","Incorrect"))</f>
        <v>Correct</v>
      </c>
      <c r="I82" s="26" t="s">
        <v>80</v>
      </c>
      <c r="J82" s="11" t="s">
        <v>78</v>
      </c>
      <c r="K82" s="24" t="str">
        <f aca="false">IF(J82="Yes",IF(I82="Correct","Incorrect","Correct"),I82)</f>
        <v>Correct</v>
      </c>
      <c r="L82" s="24" t="str">
        <f aca="false">IF(I82="Incorrect",IF(H82="Incorrect","TP","FN"),IF(H82="Incorrect","FP","TN"))</f>
        <v>TN</v>
      </c>
      <c r="M82" s="24" t="n">
        <f aca="false">IF(H82=I82,1,0)</f>
        <v>1</v>
      </c>
      <c r="N82" s="24" t="n">
        <f aca="false">IF(G82=I82,1,0)</f>
        <v>1</v>
      </c>
      <c r="O82" s="24" t="n">
        <f aca="false">IF(H82=K82,1,0)</f>
        <v>1</v>
      </c>
      <c r="P82" s="24"/>
      <c r="Q82" s="24" t="s">
        <v>82</v>
      </c>
    </row>
    <row r="83" customFormat="false" ht="15" hidden="false" customHeight="false" outlineLevel="0" collapsed="false">
      <c r="A83" s="11" t="s">
        <v>59</v>
      </c>
      <c r="B83" s="11" t="s">
        <v>31</v>
      </c>
      <c r="C83" s="11" t="n">
        <v>3</v>
      </c>
      <c r="D83" s="11" t="n">
        <v>2</v>
      </c>
      <c r="E83" s="25" t="n">
        <v>85.2</v>
      </c>
      <c r="F83" s="25" t="n">
        <v>174.3</v>
      </c>
      <c r="G83" s="11" t="s">
        <v>80</v>
      </c>
      <c r="H83" s="24" t="str">
        <f aca="false">IF(B83="Squat",IF(AND(E83&lt;=Summary!$B$7,OR(F83="",F83&lt;=Summary!$B$8)),"Correct","Incorrect"),IF(AND(E83&lt;=Summary!$B$9,OR(F83="",F83&gt;=Summary!$B$10)),"Correct","Incorrect"))</f>
        <v>Correct</v>
      </c>
      <c r="I83" s="26" t="s">
        <v>80</v>
      </c>
      <c r="J83" s="11" t="s">
        <v>78</v>
      </c>
      <c r="K83" s="24" t="str">
        <f aca="false">IF(J83="Yes",IF(I83="Correct","Incorrect","Correct"),I83)</f>
        <v>Correct</v>
      </c>
      <c r="L83" s="24" t="str">
        <f aca="false">IF(I83="Incorrect",IF(H83="Incorrect","TP","FN"),IF(H83="Incorrect","FP","TN"))</f>
        <v>TN</v>
      </c>
      <c r="M83" s="24" t="n">
        <f aca="false">IF(H83=I83,1,0)</f>
        <v>1</v>
      </c>
      <c r="N83" s="24" t="n">
        <f aca="false">IF(G83=I83,1,0)</f>
        <v>1</v>
      </c>
      <c r="O83" s="24" t="n">
        <f aca="false">IF(H83=K83,1,0)</f>
        <v>1</v>
      </c>
      <c r="P83" s="24"/>
      <c r="Q83" s="24" t="s">
        <v>82</v>
      </c>
    </row>
    <row r="84" customFormat="false" ht="15" hidden="false" customHeight="false" outlineLevel="0" collapsed="false">
      <c r="A84" s="11" t="s">
        <v>59</v>
      </c>
      <c r="B84" s="11" t="s">
        <v>31</v>
      </c>
      <c r="C84" s="11" t="n">
        <v>3</v>
      </c>
      <c r="D84" s="11" t="n">
        <v>3</v>
      </c>
      <c r="E84" s="25" t="n">
        <v>90.7</v>
      </c>
      <c r="F84" s="25" t="n">
        <v>171.1</v>
      </c>
      <c r="G84" s="11" t="s">
        <v>80</v>
      </c>
      <c r="H84" s="24" t="str">
        <f aca="false">IF(B84="Squat",IF(AND(E84&lt;=Summary!$B$7,OR(F84="",F84&lt;=Summary!$B$8)),"Correct","Incorrect"),IF(AND(E84&lt;=Summary!$B$9,OR(F84="",F84&gt;=Summary!$B$10)),"Correct","Incorrect"))</f>
        <v>Correct</v>
      </c>
      <c r="I84" s="26" t="s">
        <v>80</v>
      </c>
      <c r="J84" s="11" t="s">
        <v>78</v>
      </c>
      <c r="K84" s="24" t="str">
        <f aca="false">IF(J84="Yes",IF(I84="Correct","Incorrect","Correct"),I84)</f>
        <v>Correct</v>
      </c>
      <c r="L84" s="24" t="str">
        <f aca="false">IF(I84="Incorrect",IF(H84="Incorrect","TP","FN"),IF(H84="Incorrect","FP","TN"))</f>
        <v>TN</v>
      </c>
      <c r="M84" s="24" t="n">
        <f aca="false">IF(H84=I84,1,0)</f>
        <v>1</v>
      </c>
      <c r="N84" s="24" t="n">
        <f aca="false">IF(G84=I84,1,0)</f>
        <v>1</v>
      </c>
      <c r="O84" s="24" t="n">
        <f aca="false">IF(H84=K84,1,0)</f>
        <v>1</v>
      </c>
      <c r="P84" s="24"/>
      <c r="Q84" s="24" t="s">
        <v>82</v>
      </c>
    </row>
    <row r="85" customFormat="false" ht="15" hidden="false" customHeight="false" outlineLevel="0" collapsed="false">
      <c r="A85" s="11" t="s">
        <v>59</v>
      </c>
      <c r="B85" s="11" t="s">
        <v>31</v>
      </c>
      <c r="C85" s="11" t="n">
        <v>3</v>
      </c>
      <c r="D85" s="11" t="n">
        <v>4</v>
      </c>
      <c r="E85" s="25" t="n">
        <v>90.7</v>
      </c>
      <c r="F85" s="25" t="n">
        <v>169.3</v>
      </c>
      <c r="G85" s="11" t="s">
        <v>80</v>
      </c>
      <c r="H85" s="24" t="str">
        <f aca="false">IF(B85="Squat",IF(AND(E85&lt;=Summary!$B$7,OR(F85="",F85&lt;=Summary!$B$8)),"Correct","Incorrect"),IF(AND(E85&lt;=Summary!$B$9,OR(F85="",F85&gt;=Summary!$B$10)),"Correct","Incorrect"))</f>
        <v>Correct</v>
      </c>
      <c r="I85" s="26" t="s">
        <v>80</v>
      </c>
      <c r="J85" s="11" t="s">
        <v>78</v>
      </c>
      <c r="K85" s="24" t="str">
        <f aca="false">IF(J85="Yes",IF(I85="Correct","Incorrect","Correct"),I85)</f>
        <v>Correct</v>
      </c>
      <c r="L85" s="24" t="str">
        <f aca="false">IF(I85="Incorrect",IF(H85="Incorrect","TP","FN"),IF(H85="Incorrect","FP","TN"))</f>
        <v>TN</v>
      </c>
      <c r="M85" s="24" t="n">
        <f aca="false">IF(H85=I85,1,0)</f>
        <v>1</v>
      </c>
      <c r="N85" s="24" t="n">
        <f aca="false">IF(G85=I85,1,0)</f>
        <v>1</v>
      </c>
      <c r="O85" s="24" t="n">
        <f aca="false">IF(H85=K85,1,0)</f>
        <v>1</v>
      </c>
      <c r="P85" s="24"/>
      <c r="Q85" s="24" t="s">
        <v>82</v>
      </c>
    </row>
    <row r="86" customFormat="false" ht="15" hidden="false" customHeight="false" outlineLevel="0" collapsed="false">
      <c r="A86" s="11" t="s">
        <v>59</v>
      </c>
      <c r="B86" s="11" t="s">
        <v>31</v>
      </c>
      <c r="C86" s="11" t="n">
        <v>3</v>
      </c>
      <c r="D86" s="11" t="n">
        <v>5</v>
      </c>
      <c r="E86" s="25" t="n">
        <v>67.6</v>
      </c>
      <c r="F86" s="25" t="n">
        <v>169.6</v>
      </c>
      <c r="G86" s="11" t="s">
        <v>80</v>
      </c>
      <c r="H86" s="24" t="str">
        <f aca="false">IF(B86="Squat",IF(AND(E86&lt;=Summary!$B$7,OR(F86="",F86&lt;=Summary!$B$8)),"Correct","Incorrect"),IF(AND(E86&lt;=Summary!$B$9,OR(F86="",F86&gt;=Summary!$B$10)),"Correct","Incorrect"))</f>
        <v>Correct</v>
      </c>
      <c r="I86" s="26" t="s">
        <v>80</v>
      </c>
      <c r="J86" s="11" t="s">
        <v>78</v>
      </c>
      <c r="K86" s="24" t="str">
        <f aca="false">IF(J86="Yes",IF(I86="Correct","Incorrect","Correct"),I86)</f>
        <v>Correct</v>
      </c>
      <c r="L86" s="24" t="str">
        <f aca="false">IF(I86="Incorrect",IF(H86="Incorrect","TP","FN"),IF(H86="Incorrect","FP","TN"))</f>
        <v>TN</v>
      </c>
      <c r="M86" s="24" t="n">
        <f aca="false">IF(H86=I86,1,0)</f>
        <v>1</v>
      </c>
      <c r="N86" s="24" t="n">
        <f aca="false">IF(G86=I86,1,0)</f>
        <v>1</v>
      </c>
      <c r="O86" s="24" t="n">
        <f aca="false">IF(H86=K86,1,0)</f>
        <v>1</v>
      </c>
      <c r="P86" s="24"/>
      <c r="Q86" s="24" t="s">
        <v>82</v>
      </c>
    </row>
    <row r="87" customFormat="false" ht="15" hidden="false" customHeight="false" outlineLevel="0" collapsed="false">
      <c r="A87" s="11" t="s">
        <v>59</v>
      </c>
      <c r="B87" s="11" t="s">
        <v>31</v>
      </c>
      <c r="C87" s="11" t="n">
        <v>3</v>
      </c>
      <c r="D87" s="11" t="n">
        <v>6</v>
      </c>
      <c r="E87" s="25" t="n">
        <v>79</v>
      </c>
      <c r="F87" s="25" t="n">
        <v>168.3</v>
      </c>
      <c r="G87" s="11" t="s">
        <v>80</v>
      </c>
      <c r="H87" s="24" t="str">
        <f aca="false">IF(B87="Squat",IF(AND(E87&lt;=Summary!$B$7,OR(F87="",F87&lt;=Summary!$B$8)),"Correct","Incorrect"),IF(AND(E87&lt;=Summary!$B$9,OR(F87="",F87&gt;=Summary!$B$10)),"Correct","Incorrect"))</f>
        <v>Correct</v>
      </c>
      <c r="I87" s="26" t="s">
        <v>80</v>
      </c>
      <c r="J87" s="11" t="s">
        <v>78</v>
      </c>
      <c r="K87" s="24" t="str">
        <f aca="false">IF(J87="Yes",IF(I87="Correct","Incorrect","Correct"),I87)</f>
        <v>Correct</v>
      </c>
      <c r="L87" s="24" t="str">
        <f aca="false">IF(I87="Incorrect",IF(H87="Incorrect","TP","FN"),IF(H87="Incorrect","FP","TN"))</f>
        <v>TN</v>
      </c>
      <c r="M87" s="24" t="n">
        <f aca="false">IF(H87=I87,1,0)</f>
        <v>1</v>
      </c>
      <c r="N87" s="24" t="n">
        <f aca="false">IF(G87=I87,1,0)</f>
        <v>1</v>
      </c>
      <c r="O87" s="24" t="n">
        <f aca="false">IF(H87=K87,1,0)</f>
        <v>1</v>
      </c>
      <c r="P87" s="24"/>
      <c r="Q87" s="24" t="s">
        <v>82</v>
      </c>
    </row>
    <row r="88" customFormat="false" ht="15" hidden="false" customHeight="false" outlineLevel="0" collapsed="false">
      <c r="A88" s="11" t="s">
        <v>59</v>
      </c>
      <c r="B88" s="11" t="s">
        <v>31</v>
      </c>
      <c r="C88" s="11" t="n">
        <v>3</v>
      </c>
      <c r="D88" s="11" t="n">
        <v>7</v>
      </c>
      <c r="E88" s="25" t="n">
        <v>80.4</v>
      </c>
      <c r="F88" s="25" t="n">
        <v>168.8</v>
      </c>
      <c r="G88" s="11" t="s">
        <v>80</v>
      </c>
      <c r="H88" s="24" t="str">
        <f aca="false">IF(B88="Squat",IF(AND(E88&lt;=Summary!$B$7,OR(F88="",F88&lt;=Summary!$B$8)),"Correct","Incorrect"),IF(AND(E88&lt;=Summary!$B$9,OR(F88="",F88&gt;=Summary!$B$10)),"Correct","Incorrect"))</f>
        <v>Correct</v>
      </c>
      <c r="I88" s="26" t="s">
        <v>80</v>
      </c>
      <c r="J88" s="11" t="s">
        <v>78</v>
      </c>
      <c r="K88" s="24" t="str">
        <f aca="false">IF(J88="Yes",IF(I88="Correct","Incorrect","Correct"),I88)</f>
        <v>Correct</v>
      </c>
      <c r="L88" s="24" t="str">
        <f aca="false">IF(I88="Incorrect",IF(H88="Incorrect","TP","FN"),IF(H88="Incorrect","FP","TN"))</f>
        <v>TN</v>
      </c>
      <c r="M88" s="24" t="n">
        <f aca="false">IF(H88=I88,1,0)</f>
        <v>1</v>
      </c>
      <c r="N88" s="24" t="n">
        <f aca="false">IF(G88=I88,1,0)</f>
        <v>1</v>
      </c>
      <c r="O88" s="24" t="n">
        <f aca="false">IF(H88=K88,1,0)</f>
        <v>1</v>
      </c>
      <c r="P88" s="24"/>
      <c r="Q88" s="24" t="s">
        <v>82</v>
      </c>
    </row>
    <row r="89" customFormat="false" ht="15" hidden="false" customHeight="false" outlineLevel="0" collapsed="false">
      <c r="A89" s="11" t="s">
        <v>59</v>
      </c>
      <c r="B89" s="11" t="s">
        <v>31</v>
      </c>
      <c r="C89" s="11" t="n">
        <v>3</v>
      </c>
      <c r="D89" s="11" t="n">
        <v>8</v>
      </c>
      <c r="E89" s="25" t="n">
        <v>91.3</v>
      </c>
      <c r="F89" s="25" t="n">
        <v>174</v>
      </c>
      <c r="G89" s="11" t="s">
        <v>80</v>
      </c>
      <c r="H89" s="24" t="str">
        <f aca="false">IF(B89="Squat",IF(AND(E89&lt;=Summary!$B$7,OR(F89="",F89&lt;=Summary!$B$8)),"Correct","Incorrect"),IF(AND(E89&lt;=Summary!$B$9,OR(F89="",F89&gt;=Summary!$B$10)),"Correct","Incorrect"))</f>
        <v>Correct</v>
      </c>
      <c r="I89" s="26" t="s">
        <v>80</v>
      </c>
      <c r="J89" s="11" t="s">
        <v>78</v>
      </c>
      <c r="K89" s="24" t="str">
        <f aca="false">IF(J89="Yes",IF(I89="Correct","Incorrect","Correct"),I89)</f>
        <v>Correct</v>
      </c>
      <c r="L89" s="24" t="str">
        <f aca="false">IF(I89="Incorrect",IF(H89="Incorrect","TP","FN"),IF(H89="Incorrect","FP","TN"))</f>
        <v>TN</v>
      </c>
      <c r="M89" s="24" t="n">
        <f aca="false">IF(H89=I89,1,0)</f>
        <v>1</v>
      </c>
      <c r="N89" s="24" t="n">
        <f aca="false">IF(G89=I89,1,0)</f>
        <v>1</v>
      </c>
      <c r="O89" s="24" t="n">
        <f aca="false">IF(H89=K89,1,0)</f>
        <v>1</v>
      </c>
      <c r="P89" s="24"/>
      <c r="Q89" s="24" t="s">
        <v>82</v>
      </c>
    </row>
    <row r="90" customFormat="false" ht="15" hidden="false" customHeight="false" outlineLevel="0" collapsed="false">
      <c r="A90" s="11" t="s">
        <v>59</v>
      </c>
      <c r="B90" s="11" t="s">
        <v>31</v>
      </c>
      <c r="C90" s="11" t="n">
        <v>3</v>
      </c>
      <c r="D90" s="11" t="n">
        <v>9</v>
      </c>
      <c r="E90" s="25" t="n">
        <v>93.3</v>
      </c>
      <c r="F90" s="25" t="n">
        <v>175.1</v>
      </c>
      <c r="G90" s="11" t="s">
        <v>80</v>
      </c>
      <c r="H90" s="24" t="str">
        <f aca="false">IF(B90="Squat",IF(AND(E90&lt;=Summary!$B$7,OR(F90="",F90&lt;=Summary!$B$8)),"Correct","Incorrect"),IF(AND(E90&lt;=Summary!$B$9,OR(F90="",F90&gt;=Summary!$B$10)),"Correct","Incorrect"))</f>
        <v>Correct</v>
      </c>
      <c r="I90" s="26" t="s">
        <v>80</v>
      </c>
      <c r="J90" s="11" t="s">
        <v>78</v>
      </c>
      <c r="K90" s="24" t="str">
        <f aca="false">IF(J90="Yes",IF(I90="Correct","Incorrect","Correct"),I90)</f>
        <v>Correct</v>
      </c>
      <c r="L90" s="24" t="str">
        <f aca="false">IF(I90="Incorrect",IF(H90="Incorrect","TP","FN"),IF(H90="Incorrect","FP","TN"))</f>
        <v>TN</v>
      </c>
      <c r="M90" s="24" t="n">
        <f aca="false">IF(H90=I90,1,0)</f>
        <v>1</v>
      </c>
      <c r="N90" s="24" t="n">
        <f aca="false">IF(G90=I90,1,0)</f>
        <v>1</v>
      </c>
      <c r="O90" s="24" t="n">
        <f aca="false">IF(H90=K90,1,0)</f>
        <v>1</v>
      </c>
      <c r="P90" s="24"/>
      <c r="Q90" s="24" t="s">
        <v>82</v>
      </c>
    </row>
    <row r="91" customFormat="false" ht="15" hidden="false" customHeight="false" outlineLevel="0" collapsed="false">
      <c r="A91" s="11" t="s">
        <v>59</v>
      </c>
      <c r="B91" s="11" t="s">
        <v>31</v>
      </c>
      <c r="C91" s="11" t="n">
        <v>3</v>
      </c>
      <c r="D91" s="11" t="n">
        <v>10</v>
      </c>
      <c r="E91" s="25" t="n">
        <v>81</v>
      </c>
      <c r="F91" s="25" t="n">
        <v>170.2</v>
      </c>
      <c r="G91" s="11" t="s">
        <v>80</v>
      </c>
      <c r="H91" s="24" t="str">
        <f aca="false">IF(B91="Squat",IF(AND(E91&lt;=Summary!$B$7,OR(F91="",F91&lt;=Summary!$B$8)),"Correct","Incorrect"),IF(AND(E91&lt;=Summary!$B$9,OR(F91="",F91&gt;=Summary!$B$10)),"Correct","Incorrect"))</f>
        <v>Correct</v>
      </c>
      <c r="I91" s="26" t="s">
        <v>80</v>
      </c>
      <c r="J91" s="11" t="s">
        <v>78</v>
      </c>
      <c r="K91" s="24" t="str">
        <f aca="false">IF(J91="Yes",IF(I91="Correct","Incorrect","Correct"),I91)</f>
        <v>Correct</v>
      </c>
      <c r="L91" s="24" t="str">
        <f aca="false">IF(I91="Incorrect",IF(H91="Incorrect","TP","FN"),IF(H91="Incorrect","FP","TN"))</f>
        <v>TN</v>
      </c>
      <c r="M91" s="24" t="n">
        <f aca="false">IF(H91=I91,1,0)</f>
        <v>1</v>
      </c>
      <c r="N91" s="24" t="n">
        <f aca="false">IF(G91=I91,1,0)</f>
        <v>1</v>
      </c>
      <c r="O91" s="24" t="n">
        <f aca="false">IF(H91=K91,1,0)</f>
        <v>1</v>
      </c>
      <c r="P91" s="24"/>
      <c r="Q91" s="24" t="s">
        <v>82</v>
      </c>
    </row>
    <row r="92" customFormat="false" ht="15" hidden="false" customHeight="false" outlineLevel="0" collapsed="false">
      <c r="A92" s="11" t="s">
        <v>60</v>
      </c>
      <c r="B92" s="11" t="s">
        <v>31</v>
      </c>
      <c r="C92" s="11" t="n">
        <v>1</v>
      </c>
      <c r="D92" s="11" t="n">
        <v>1</v>
      </c>
      <c r="E92" s="25" t="n">
        <v>84.9</v>
      </c>
      <c r="F92" s="25" t="n">
        <v>112</v>
      </c>
      <c r="G92" s="11" t="s">
        <v>77</v>
      </c>
      <c r="H92" s="24" t="str">
        <f aca="false">IF(B92="Squat",IF(AND(E92&lt;=Summary!$B$7,OR(F92="",F92&lt;=Summary!$B$8)),"Correct","Incorrect"),IF(AND(E92&lt;=Summary!$B$9,OR(F92="",F92&gt;=Summary!$B$10)),"Correct","Incorrect"))</f>
        <v>Incorrect</v>
      </c>
      <c r="I92" s="26" t="s">
        <v>77</v>
      </c>
      <c r="J92" s="11" t="s">
        <v>78</v>
      </c>
      <c r="K92" s="24" t="str">
        <f aca="false">IF(J92="Yes",IF(I92="Correct","Incorrect","Correct"),I92)</f>
        <v>Incorrect</v>
      </c>
      <c r="L92" s="24" t="str">
        <f aca="false">IF(I92="Incorrect",IF(H92="Incorrect","TP","FN"),IF(H92="Incorrect","FP","TN"))</f>
        <v>TP</v>
      </c>
      <c r="M92" s="24" t="n">
        <f aca="false">IF(H92=I92,1,0)</f>
        <v>1</v>
      </c>
      <c r="N92" s="24" t="n">
        <f aca="false">IF(G92=I92,1,0)</f>
        <v>1</v>
      </c>
      <c r="O92" s="24" t="n">
        <f aca="false">IF(H92=K92,1,0)</f>
        <v>1</v>
      </c>
      <c r="P92" s="24"/>
      <c r="Q92" s="24" t="s">
        <v>83</v>
      </c>
    </row>
    <row r="93" customFormat="false" ht="15" hidden="false" customHeight="false" outlineLevel="0" collapsed="false">
      <c r="A93" s="11" t="s">
        <v>60</v>
      </c>
      <c r="B93" s="11" t="s">
        <v>31</v>
      </c>
      <c r="C93" s="11" t="n">
        <v>1</v>
      </c>
      <c r="D93" s="11" t="n">
        <v>2</v>
      </c>
      <c r="E93" s="25" t="n">
        <v>86.5</v>
      </c>
      <c r="F93" s="25" t="n">
        <v>117.5</v>
      </c>
      <c r="G93" s="11" t="s">
        <v>77</v>
      </c>
      <c r="H93" s="24" t="str">
        <f aca="false">IF(B93="Squat",IF(AND(E93&lt;=Summary!$B$7,OR(F93="",F93&lt;=Summary!$B$8)),"Correct","Incorrect"),IF(AND(E93&lt;=Summary!$B$9,OR(F93="",F93&gt;=Summary!$B$10)),"Correct","Incorrect"))</f>
        <v>Incorrect</v>
      </c>
      <c r="I93" s="26" t="s">
        <v>77</v>
      </c>
      <c r="J93" s="11" t="s">
        <v>78</v>
      </c>
      <c r="K93" s="24" t="str">
        <f aca="false">IF(J93="Yes",IF(I93="Correct","Incorrect","Correct"),I93)</f>
        <v>Incorrect</v>
      </c>
      <c r="L93" s="24" t="str">
        <f aca="false">IF(I93="Incorrect",IF(H93="Incorrect","TP","FN"),IF(H93="Incorrect","FP","TN"))</f>
        <v>TP</v>
      </c>
      <c r="M93" s="24" t="n">
        <f aca="false">IF(H93=I93,1,0)</f>
        <v>1</v>
      </c>
      <c r="N93" s="24" t="n">
        <f aca="false">IF(G93=I93,1,0)</f>
        <v>1</v>
      </c>
      <c r="O93" s="24" t="n">
        <f aca="false">IF(H93=K93,1,0)</f>
        <v>1</v>
      </c>
      <c r="P93" s="24"/>
      <c r="Q93" s="24" t="s">
        <v>83</v>
      </c>
    </row>
    <row r="94" customFormat="false" ht="15" hidden="false" customHeight="false" outlineLevel="0" collapsed="false">
      <c r="A94" s="11" t="s">
        <v>60</v>
      </c>
      <c r="B94" s="11" t="s">
        <v>31</v>
      </c>
      <c r="C94" s="11" t="n">
        <v>1</v>
      </c>
      <c r="D94" s="11" t="n">
        <v>3</v>
      </c>
      <c r="E94" s="25" t="n">
        <v>111.1</v>
      </c>
      <c r="F94" s="25" t="n">
        <v>108.7</v>
      </c>
      <c r="G94" s="11" t="s">
        <v>77</v>
      </c>
      <c r="H94" s="24" t="str">
        <f aca="false">IF(B94="Squat",IF(AND(E94&lt;=Summary!$B$7,OR(F94="",F94&lt;=Summary!$B$8)),"Correct","Incorrect"),IF(AND(E94&lt;=Summary!$B$9,OR(F94="",F94&gt;=Summary!$B$10)),"Correct","Incorrect"))</f>
        <v>Incorrect</v>
      </c>
      <c r="I94" s="26" t="s">
        <v>77</v>
      </c>
      <c r="J94" s="11" t="s">
        <v>78</v>
      </c>
      <c r="K94" s="24" t="str">
        <f aca="false">IF(J94="Yes",IF(I94="Correct","Incorrect","Correct"),I94)</f>
        <v>Incorrect</v>
      </c>
      <c r="L94" s="24" t="str">
        <f aca="false">IF(I94="Incorrect",IF(H94="Incorrect","TP","FN"),IF(H94="Incorrect","FP","TN"))</f>
        <v>TP</v>
      </c>
      <c r="M94" s="24" t="n">
        <f aca="false">IF(H94=I94,1,0)</f>
        <v>1</v>
      </c>
      <c r="N94" s="24" t="n">
        <f aca="false">IF(G94=I94,1,0)</f>
        <v>1</v>
      </c>
      <c r="O94" s="24" t="n">
        <f aca="false">IF(H94=K94,1,0)</f>
        <v>1</v>
      </c>
      <c r="P94" s="24"/>
      <c r="Q94" s="24" t="s">
        <v>83</v>
      </c>
    </row>
    <row r="95" customFormat="false" ht="15" hidden="false" customHeight="false" outlineLevel="0" collapsed="false">
      <c r="A95" s="11" t="s">
        <v>60</v>
      </c>
      <c r="B95" s="11" t="s">
        <v>31</v>
      </c>
      <c r="C95" s="11" t="n">
        <v>1</v>
      </c>
      <c r="D95" s="11" t="n">
        <v>4</v>
      </c>
      <c r="E95" s="25" t="n">
        <v>71.1</v>
      </c>
      <c r="F95" s="25" t="n">
        <v>63.9</v>
      </c>
      <c r="G95" s="11" t="s">
        <v>77</v>
      </c>
      <c r="H95" s="24" t="str">
        <f aca="false">IF(B95="Squat",IF(AND(E95&lt;=Summary!$B$7,OR(F95="",F95&lt;=Summary!$B$8)),"Correct","Incorrect"),IF(AND(E95&lt;=Summary!$B$9,OR(F95="",F95&gt;=Summary!$B$10)),"Correct","Incorrect"))</f>
        <v>Incorrect</v>
      </c>
      <c r="I95" s="26" t="s">
        <v>77</v>
      </c>
      <c r="J95" s="11" t="s">
        <v>78</v>
      </c>
      <c r="K95" s="24" t="str">
        <f aca="false">IF(J95="Yes",IF(I95="Correct","Incorrect","Correct"),I95)</f>
        <v>Incorrect</v>
      </c>
      <c r="L95" s="24" t="str">
        <f aca="false">IF(I95="Incorrect",IF(H95="Incorrect","TP","FN"),IF(H95="Incorrect","FP","TN"))</f>
        <v>TP</v>
      </c>
      <c r="M95" s="24" t="n">
        <f aca="false">IF(H95=I95,1,0)</f>
        <v>1</v>
      </c>
      <c r="N95" s="24" t="n">
        <f aca="false">IF(G95=I95,1,0)</f>
        <v>1</v>
      </c>
      <c r="O95" s="24" t="n">
        <f aca="false">IF(H95=K95,1,0)</f>
        <v>1</v>
      </c>
      <c r="P95" s="24"/>
      <c r="Q95" s="24" t="s">
        <v>83</v>
      </c>
    </row>
    <row r="96" customFormat="false" ht="15" hidden="false" customHeight="false" outlineLevel="0" collapsed="false">
      <c r="A96" s="11" t="s">
        <v>60</v>
      </c>
      <c r="B96" s="11" t="s">
        <v>31</v>
      </c>
      <c r="C96" s="11" t="n">
        <v>1</v>
      </c>
      <c r="D96" s="11" t="n">
        <v>5</v>
      </c>
      <c r="E96" s="25" t="n">
        <v>71.7</v>
      </c>
      <c r="F96" s="25" t="n">
        <v>65.1</v>
      </c>
      <c r="G96" s="11" t="s">
        <v>77</v>
      </c>
      <c r="H96" s="24" t="str">
        <f aca="false">IF(B96="Squat",IF(AND(E96&lt;=Summary!$B$7,OR(F96="",F96&lt;=Summary!$B$8)),"Correct","Incorrect"),IF(AND(E96&lt;=Summary!$B$9,OR(F96="",F96&gt;=Summary!$B$10)),"Correct","Incorrect"))</f>
        <v>Incorrect</v>
      </c>
      <c r="I96" s="26" t="s">
        <v>77</v>
      </c>
      <c r="J96" s="11" t="s">
        <v>78</v>
      </c>
      <c r="K96" s="24" t="str">
        <f aca="false">IF(J96="Yes",IF(I96="Correct","Incorrect","Correct"),I96)</f>
        <v>Incorrect</v>
      </c>
      <c r="L96" s="24" t="str">
        <f aca="false">IF(I96="Incorrect",IF(H96="Incorrect","TP","FN"),IF(H96="Incorrect","FP","TN"))</f>
        <v>TP</v>
      </c>
      <c r="M96" s="24" t="n">
        <f aca="false">IF(H96=I96,1,0)</f>
        <v>1</v>
      </c>
      <c r="N96" s="24" t="n">
        <f aca="false">IF(G96=I96,1,0)</f>
        <v>1</v>
      </c>
      <c r="O96" s="24" t="n">
        <f aca="false">IF(H96=K96,1,0)</f>
        <v>1</v>
      </c>
      <c r="P96" s="24"/>
      <c r="Q96" s="24" t="s">
        <v>83</v>
      </c>
    </row>
    <row r="97" customFormat="false" ht="15" hidden="false" customHeight="false" outlineLevel="0" collapsed="false">
      <c r="A97" s="11" t="s">
        <v>60</v>
      </c>
      <c r="B97" s="11" t="s">
        <v>31</v>
      </c>
      <c r="C97" s="11" t="n">
        <v>1</v>
      </c>
      <c r="D97" s="11" t="n">
        <v>6</v>
      </c>
      <c r="E97" s="25" t="n">
        <v>72</v>
      </c>
      <c r="F97" s="25" t="n">
        <v>55</v>
      </c>
      <c r="G97" s="11" t="s">
        <v>77</v>
      </c>
      <c r="H97" s="24" t="str">
        <f aca="false">IF(B97="Squat",IF(AND(E97&lt;=Summary!$B$7,OR(F97="",F97&lt;=Summary!$B$8)),"Correct","Incorrect"),IF(AND(E97&lt;=Summary!$B$9,OR(F97="",F97&gt;=Summary!$B$10)),"Correct","Incorrect"))</f>
        <v>Incorrect</v>
      </c>
      <c r="I97" s="26" t="s">
        <v>77</v>
      </c>
      <c r="J97" s="11" t="s">
        <v>78</v>
      </c>
      <c r="K97" s="24" t="str">
        <f aca="false">IF(J97="Yes",IF(I97="Correct","Incorrect","Correct"),I97)</f>
        <v>Incorrect</v>
      </c>
      <c r="L97" s="24" t="str">
        <f aca="false">IF(I97="Incorrect",IF(H97="Incorrect","TP","FN"),IF(H97="Incorrect","FP","TN"))</f>
        <v>TP</v>
      </c>
      <c r="M97" s="24" t="n">
        <f aca="false">IF(H97=I97,1,0)</f>
        <v>1</v>
      </c>
      <c r="N97" s="24" t="n">
        <f aca="false">IF(G97=I97,1,0)</f>
        <v>1</v>
      </c>
      <c r="O97" s="24" t="n">
        <f aca="false">IF(H97=K97,1,0)</f>
        <v>1</v>
      </c>
      <c r="P97" s="24"/>
      <c r="Q97" s="24" t="s">
        <v>83</v>
      </c>
    </row>
    <row r="98" customFormat="false" ht="15" hidden="false" customHeight="false" outlineLevel="0" collapsed="false">
      <c r="A98" s="11" t="s">
        <v>60</v>
      </c>
      <c r="B98" s="11" t="s">
        <v>31</v>
      </c>
      <c r="C98" s="11" t="n">
        <v>1</v>
      </c>
      <c r="D98" s="11" t="n">
        <v>7</v>
      </c>
      <c r="E98" s="25" t="n">
        <v>73.4</v>
      </c>
      <c r="F98" s="25" t="n">
        <v>95.5</v>
      </c>
      <c r="G98" s="11" t="s">
        <v>77</v>
      </c>
      <c r="H98" s="24" t="str">
        <f aca="false">IF(B98="Squat",IF(AND(E98&lt;=Summary!$B$7,OR(F98="",F98&lt;=Summary!$B$8)),"Correct","Incorrect"),IF(AND(E98&lt;=Summary!$B$9,OR(F98="",F98&gt;=Summary!$B$10)),"Correct","Incorrect"))</f>
        <v>Incorrect</v>
      </c>
      <c r="I98" s="26" t="s">
        <v>77</v>
      </c>
      <c r="J98" s="11" t="s">
        <v>78</v>
      </c>
      <c r="K98" s="24" t="str">
        <f aca="false">IF(J98="Yes",IF(I98="Correct","Incorrect","Correct"),I98)</f>
        <v>Incorrect</v>
      </c>
      <c r="L98" s="24" t="str">
        <f aca="false">IF(I98="Incorrect",IF(H98="Incorrect","TP","FN"),IF(H98="Incorrect","FP","TN"))</f>
        <v>TP</v>
      </c>
      <c r="M98" s="24" t="n">
        <f aca="false">IF(H98=I98,1,0)</f>
        <v>1</v>
      </c>
      <c r="N98" s="24" t="n">
        <f aca="false">IF(G98=I98,1,0)</f>
        <v>1</v>
      </c>
      <c r="O98" s="24" t="n">
        <f aca="false">IF(H98=K98,1,0)</f>
        <v>1</v>
      </c>
      <c r="P98" s="24"/>
      <c r="Q98" s="24" t="s">
        <v>83</v>
      </c>
    </row>
    <row r="99" customFormat="false" ht="15" hidden="false" customHeight="false" outlineLevel="0" collapsed="false">
      <c r="A99" s="11" t="s">
        <v>60</v>
      </c>
      <c r="B99" s="11" t="s">
        <v>31</v>
      </c>
      <c r="C99" s="11" t="n">
        <v>1</v>
      </c>
      <c r="D99" s="11" t="n">
        <v>8</v>
      </c>
      <c r="E99" s="25" t="n">
        <v>77.6</v>
      </c>
      <c r="F99" s="25" t="n">
        <v>95</v>
      </c>
      <c r="G99" s="11" t="s">
        <v>77</v>
      </c>
      <c r="H99" s="24" t="str">
        <f aca="false">IF(B99="Squat",IF(AND(E99&lt;=Summary!$B$7,OR(F99="",F99&lt;=Summary!$B$8)),"Correct","Incorrect"),IF(AND(E99&lt;=Summary!$B$9,OR(F99="",F99&gt;=Summary!$B$10)),"Correct","Incorrect"))</f>
        <v>Incorrect</v>
      </c>
      <c r="I99" s="26" t="s">
        <v>77</v>
      </c>
      <c r="J99" s="11" t="s">
        <v>78</v>
      </c>
      <c r="K99" s="24" t="str">
        <f aca="false">IF(J99="Yes",IF(I99="Correct","Incorrect","Correct"),I99)</f>
        <v>Incorrect</v>
      </c>
      <c r="L99" s="24" t="str">
        <f aca="false">IF(I99="Incorrect",IF(H99="Incorrect","TP","FN"),IF(H99="Incorrect","FP","TN"))</f>
        <v>TP</v>
      </c>
      <c r="M99" s="24" t="n">
        <f aca="false">IF(H99=I99,1,0)</f>
        <v>1</v>
      </c>
      <c r="N99" s="24" t="n">
        <f aca="false">IF(G99=I99,1,0)</f>
        <v>1</v>
      </c>
      <c r="O99" s="24" t="n">
        <f aca="false">IF(H99=K99,1,0)</f>
        <v>1</v>
      </c>
      <c r="P99" s="24"/>
      <c r="Q99" s="24" t="s">
        <v>83</v>
      </c>
    </row>
    <row r="100" customFormat="false" ht="15" hidden="false" customHeight="false" outlineLevel="0" collapsed="false">
      <c r="A100" s="11" t="s">
        <v>60</v>
      </c>
      <c r="B100" s="11" t="s">
        <v>31</v>
      </c>
      <c r="C100" s="11" t="n">
        <v>1</v>
      </c>
      <c r="D100" s="11" t="n">
        <v>9</v>
      </c>
      <c r="E100" s="25" t="n">
        <v>81.3</v>
      </c>
      <c r="F100" s="25" t="n">
        <v>95.4</v>
      </c>
      <c r="G100" s="11" t="s">
        <v>77</v>
      </c>
      <c r="H100" s="24" t="str">
        <f aca="false">IF(B100="Squat",IF(AND(E100&lt;=Summary!$B$7,OR(F100="",F100&lt;=Summary!$B$8)),"Correct","Incorrect"),IF(AND(E100&lt;=Summary!$B$9,OR(F100="",F100&gt;=Summary!$B$10)),"Correct","Incorrect"))</f>
        <v>Incorrect</v>
      </c>
      <c r="I100" s="26" t="s">
        <v>77</v>
      </c>
      <c r="J100" s="11" t="s">
        <v>78</v>
      </c>
      <c r="K100" s="24" t="str">
        <f aca="false">IF(J100="Yes",IF(I100="Correct","Incorrect","Correct"),I100)</f>
        <v>Incorrect</v>
      </c>
      <c r="L100" s="24" t="str">
        <f aca="false">IF(I100="Incorrect",IF(H100="Incorrect","TP","FN"),IF(H100="Incorrect","FP","TN"))</f>
        <v>TP</v>
      </c>
      <c r="M100" s="24" t="n">
        <f aca="false">IF(H100=I100,1,0)</f>
        <v>1</v>
      </c>
      <c r="N100" s="24" t="n">
        <f aca="false">IF(G100=I100,1,0)</f>
        <v>1</v>
      </c>
      <c r="O100" s="24" t="n">
        <f aca="false">IF(H100=K100,1,0)</f>
        <v>1</v>
      </c>
      <c r="P100" s="24"/>
      <c r="Q100" s="24" t="s">
        <v>83</v>
      </c>
    </row>
    <row r="101" customFormat="false" ht="15" hidden="false" customHeight="false" outlineLevel="0" collapsed="false">
      <c r="A101" s="11" t="s">
        <v>60</v>
      </c>
      <c r="B101" s="11" t="s">
        <v>31</v>
      </c>
      <c r="C101" s="11" t="n">
        <v>1</v>
      </c>
      <c r="D101" s="11" t="n">
        <v>10</v>
      </c>
      <c r="E101" s="25" t="n">
        <v>76.9</v>
      </c>
      <c r="F101" s="25" t="n">
        <v>97.2</v>
      </c>
      <c r="G101" s="11" t="s">
        <v>77</v>
      </c>
      <c r="H101" s="24" t="str">
        <f aca="false">IF(B101="Squat",IF(AND(E101&lt;=Summary!$B$7,OR(F101="",F101&lt;=Summary!$B$8)),"Correct","Incorrect"),IF(AND(E101&lt;=Summary!$B$9,OR(F101="",F101&gt;=Summary!$B$10)),"Correct","Incorrect"))</f>
        <v>Incorrect</v>
      </c>
      <c r="I101" s="26" t="s">
        <v>77</v>
      </c>
      <c r="J101" s="11" t="s">
        <v>78</v>
      </c>
      <c r="K101" s="24" t="str">
        <f aca="false">IF(J101="Yes",IF(I101="Correct","Incorrect","Correct"),I101)</f>
        <v>Incorrect</v>
      </c>
      <c r="L101" s="24" t="str">
        <f aca="false">IF(I101="Incorrect",IF(H101="Incorrect","TP","FN"),IF(H101="Incorrect","FP","TN"))</f>
        <v>TP</v>
      </c>
      <c r="M101" s="24" t="n">
        <f aca="false">IF(H101=I101,1,0)</f>
        <v>1</v>
      </c>
      <c r="N101" s="24" t="n">
        <f aca="false">IF(G101=I101,1,0)</f>
        <v>1</v>
      </c>
      <c r="O101" s="24" t="n">
        <f aca="false">IF(H101=K101,1,0)</f>
        <v>1</v>
      </c>
      <c r="P101" s="24"/>
      <c r="Q101" s="24" t="s">
        <v>83</v>
      </c>
    </row>
    <row r="102" customFormat="false" ht="15" hidden="false" customHeight="false" outlineLevel="0" collapsed="false">
      <c r="A102" s="11" t="s">
        <v>60</v>
      </c>
      <c r="B102" s="11" t="s">
        <v>31</v>
      </c>
      <c r="C102" s="11" t="n">
        <v>2</v>
      </c>
      <c r="D102" s="11" t="n">
        <v>1</v>
      </c>
      <c r="E102" s="25" t="n">
        <v>102.2</v>
      </c>
      <c r="F102" s="25" t="n">
        <v>149.9</v>
      </c>
      <c r="G102" s="11" t="s">
        <v>77</v>
      </c>
      <c r="H102" s="24" t="str">
        <f aca="false">IF(B102="Squat",IF(AND(E102&lt;=Summary!$B$7,OR(F102="",F102&lt;=Summary!$B$8)),"Correct","Incorrect"),IF(AND(E102&lt;=Summary!$B$9,OR(F102="",F102&gt;=Summary!$B$10)),"Correct","Incorrect"))</f>
        <v>Incorrect</v>
      </c>
      <c r="I102" s="26" t="s">
        <v>77</v>
      </c>
      <c r="J102" s="11" t="s">
        <v>78</v>
      </c>
      <c r="K102" s="24" t="str">
        <f aca="false">IF(J102="Yes",IF(I102="Correct","Incorrect","Correct"),I102)</f>
        <v>Incorrect</v>
      </c>
      <c r="L102" s="24" t="str">
        <f aca="false">IF(I102="Incorrect",IF(H102="Incorrect","TP","FN"),IF(H102="Incorrect","FP","TN"))</f>
        <v>TP</v>
      </c>
      <c r="M102" s="24" t="n">
        <f aca="false">IF(H102=I102,1,0)</f>
        <v>1</v>
      </c>
      <c r="N102" s="24" t="n">
        <f aca="false">IF(G102=I102,1,0)</f>
        <v>1</v>
      </c>
      <c r="O102" s="24" t="n">
        <f aca="false">IF(H102=K102,1,0)</f>
        <v>1</v>
      </c>
      <c r="P102" s="24"/>
      <c r="Q102" s="24" t="s">
        <v>83</v>
      </c>
    </row>
    <row r="103" customFormat="false" ht="15" hidden="false" customHeight="false" outlineLevel="0" collapsed="false">
      <c r="A103" s="11" t="s">
        <v>60</v>
      </c>
      <c r="B103" s="11" t="s">
        <v>31</v>
      </c>
      <c r="C103" s="11" t="n">
        <v>2</v>
      </c>
      <c r="D103" s="11" t="n">
        <v>2</v>
      </c>
      <c r="E103" s="25" t="n">
        <v>102.7</v>
      </c>
      <c r="F103" s="25" t="n">
        <v>157.2</v>
      </c>
      <c r="G103" s="11" t="s">
        <v>77</v>
      </c>
      <c r="H103" s="24" t="str">
        <f aca="false">IF(B103="Squat",IF(AND(E103&lt;=Summary!$B$7,OR(F103="",F103&lt;=Summary!$B$8)),"Correct","Incorrect"),IF(AND(E103&lt;=Summary!$B$9,OR(F103="",F103&gt;=Summary!$B$10)),"Correct","Incorrect"))</f>
        <v>Incorrect</v>
      </c>
      <c r="I103" s="26" t="s">
        <v>77</v>
      </c>
      <c r="J103" s="11" t="s">
        <v>78</v>
      </c>
      <c r="K103" s="24" t="str">
        <f aca="false">IF(J103="Yes",IF(I103="Correct","Incorrect","Correct"),I103)</f>
        <v>Incorrect</v>
      </c>
      <c r="L103" s="24" t="str">
        <f aca="false">IF(I103="Incorrect",IF(H103="Incorrect","TP","FN"),IF(H103="Incorrect","FP","TN"))</f>
        <v>TP</v>
      </c>
      <c r="M103" s="24" t="n">
        <f aca="false">IF(H103=I103,1,0)</f>
        <v>1</v>
      </c>
      <c r="N103" s="24" t="n">
        <f aca="false">IF(G103=I103,1,0)</f>
        <v>1</v>
      </c>
      <c r="O103" s="24" t="n">
        <f aca="false">IF(H103=K103,1,0)</f>
        <v>1</v>
      </c>
      <c r="P103" s="24"/>
      <c r="Q103" s="24" t="s">
        <v>83</v>
      </c>
    </row>
    <row r="104" customFormat="false" ht="15" hidden="false" customHeight="false" outlineLevel="0" collapsed="false">
      <c r="A104" s="11" t="s">
        <v>60</v>
      </c>
      <c r="B104" s="11" t="s">
        <v>31</v>
      </c>
      <c r="C104" s="11" t="n">
        <v>2</v>
      </c>
      <c r="D104" s="11" t="n">
        <v>3</v>
      </c>
      <c r="E104" s="25" t="n">
        <v>111.4</v>
      </c>
      <c r="F104" s="25" t="n">
        <v>171.7</v>
      </c>
      <c r="G104" s="11" t="s">
        <v>77</v>
      </c>
      <c r="H104" s="24" t="str">
        <f aca="false">IF(B104="Squat",IF(AND(E104&lt;=Summary!$B$7,OR(F104="",F104&lt;=Summary!$B$8)),"Correct","Incorrect"),IF(AND(E104&lt;=Summary!$B$9,OR(F104="",F104&gt;=Summary!$B$10)),"Correct","Incorrect"))</f>
        <v>Incorrect</v>
      </c>
      <c r="I104" s="26" t="s">
        <v>77</v>
      </c>
      <c r="J104" s="11" t="s">
        <v>78</v>
      </c>
      <c r="K104" s="24" t="str">
        <f aca="false">IF(J104="Yes",IF(I104="Correct","Incorrect","Correct"),I104)</f>
        <v>Incorrect</v>
      </c>
      <c r="L104" s="24" t="str">
        <f aca="false">IF(I104="Incorrect",IF(H104="Incorrect","TP","FN"),IF(H104="Incorrect","FP","TN"))</f>
        <v>TP</v>
      </c>
      <c r="M104" s="24" t="n">
        <f aca="false">IF(H104=I104,1,0)</f>
        <v>1</v>
      </c>
      <c r="N104" s="24" t="n">
        <f aca="false">IF(G104=I104,1,0)</f>
        <v>1</v>
      </c>
      <c r="O104" s="24" t="n">
        <f aca="false">IF(H104=K104,1,0)</f>
        <v>1</v>
      </c>
      <c r="P104" s="24"/>
      <c r="Q104" s="24" t="s">
        <v>83</v>
      </c>
    </row>
    <row r="105" customFormat="false" ht="15" hidden="false" customHeight="false" outlineLevel="0" collapsed="false">
      <c r="A105" s="11" t="s">
        <v>60</v>
      </c>
      <c r="B105" s="11" t="s">
        <v>31</v>
      </c>
      <c r="C105" s="11" t="n">
        <v>2</v>
      </c>
      <c r="D105" s="11" t="n">
        <v>4</v>
      </c>
      <c r="E105" s="25" t="n">
        <v>114.8</v>
      </c>
      <c r="F105" s="25" t="n">
        <v>176.2</v>
      </c>
      <c r="G105" s="11" t="s">
        <v>77</v>
      </c>
      <c r="H105" s="24" t="str">
        <f aca="false">IF(B105="Squat",IF(AND(E105&lt;=Summary!$B$7,OR(F105="",F105&lt;=Summary!$B$8)),"Correct","Incorrect"),IF(AND(E105&lt;=Summary!$B$9,OR(F105="",F105&gt;=Summary!$B$10)),"Correct","Incorrect"))</f>
        <v>Incorrect</v>
      </c>
      <c r="I105" s="26" t="s">
        <v>77</v>
      </c>
      <c r="J105" s="11" t="s">
        <v>78</v>
      </c>
      <c r="K105" s="24" t="str">
        <f aca="false">IF(J105="Yes",IF(I105="Correct","Incorrect","Correct"),I105)</f>
        <v>Incorrect</v>
      </c>
      <c r="L105" s="24" t="str">
        <f aca="false">IF(I105="Incorrect",IF(H105="Incorrect","TP","FN"),IF(H105="Incorrect","FP","TN"))</f>
        <v>TP</v>
      </c>
      <c r="M105" s="24" t="n">
        <f aca="false">IF(H105=I105,1,0)</f>
        <v>1</v>
      </c>
      <c r="N105" s="24" t="n">
        <f aca="false">IF(G105=I105,1,0)</f>
        <v>1</v>
      </c>
      <c r="O105" s="24" t="n">
        <f aca="false">IF(H105=K105,1,0)</f>
        <v>1</v>
      </c>
      <c r="P105" s="24"/>
      <c r="Q105" s="24" t="s">
        <v>83</v>
      </c>
    </row>
    <row r="106" customFormat="false" ht="15" hidden="false" customHeight="false" outlineLevel="0" collapsed="false">
      <c r="A106" s="11" t="s">
        <v>60</v>
      </c>
      <c r="B106" s="11" t="s">
        <v>31</v>
      </c>
      <c r="C106" s="11" t="n">
        <v>2</v>
      </c>
      <c r="D106" s="11" t="n">
        <v>5</v>
      </c>
      <c r="E106" s="25" t="n">
        <v>105</v>
      </c>
      <c r="F106" s="25" t="n">
        <v>120.3</v>
      </c>
      <c r="G106" s="11" t="s">
        <v>77</v>
      </c>
      <c r="H106" s="24" t="str">
        <f aca="false">IF(B106="Squat",IF(AND(E106&lt;=Summary!$B$7,OR(F106="",F106&lt;=Summary!$B$8)),"Correct","Incorrect"),IF(AND(E106&lt;=Summary!$B$9,OR(F106="",F106&gt;=Summary!$B$10)),"Correct","Incorrect"))</f>
        <v>Incorrect</v>
      </c>
      <c r="I106" s="26" t="s">
        <v>77</v>
      </c>
      <c r="J106" s="11" t="s">
        <v>78</v>
      </c>
      <c r="K106" s="24" t="str">
        <f aca="false">IF(J106="Yes",IF(I106="Correct","Incorrect","Correct"),I106)</f>
        <v>Incorrect</v>
      </c>
      <c r="L106" s="24" t="str">
        <f aca="false">IF(I106="Incorrect",IF(H106="Incorrect","TP","FN"),IF(H106="Incorrect","FP","TN"))</f>
        <v>TP</v>
      </c>
      <c r="M106" s="24" t="n">
        <f aca="false">IF(H106=I106,1,0)</f>
        <v>1</v>
      </c>
      <c r="N106" s="24" t="n">
        <f aca="false">IF(G106=I106,1,0)</f>
        <v>1</v>
      </c>
      <c r="O106" s="24" t="n">
        <f aca="false">IF(H106=K106,1,0)</f>
        <v>1</v>
      </c>
      <c r="P106" s="24"/>
      <c r="Q106" s="24" t="s">
        <v>83</v>
      </c>
    </row>
    <row r="107" customFormat="false" ht="15" hidden="false" customHeight="false" outlineLevel="0" collapsed="false">
      <c r="A107" s="11" t="s">
        <v>60</v>
      </c>
      <c r="B107" s="11" t="s">
        <v>31</v>
      </c>
      <c r="C107" s="11" t="n">
        <v>2</v>
      </c>
      <c r="D107" s="11" t="n">
        <v>6</v>
      </c>
      <c r="E107" s="25" t="n">
        <v>105.5</v>
      </c>
      <c r="F107" s="25" t="n">
        <v>150.5</v>
      </c>
      <c r="G107" s="11" t="s">
        <v>77</v>
      </c>
      <c r="H107" s="24" t="str">
        <f aca="false">IF(B107="Squat",IF(AND(E107&lt;=Summary!$B$7,OR(F107="",F107&lt;=Summary!$B$8)),"Correct","Incorrect"),IF(AND(E107&lt;=Summary!$B$9,OR(F107="",F107&gt;=Summary!$B$10)),"Correct","Incorrect"))</f>
        <v>Incorrect</v>
      </c>
      <c r="I107" s="26" t="s">
        <v>77</v>
      </c>
      <c r="J107" s="11" t="s">
        <v>78</v>
      </c>
      <c r="K107" s="24" t="str">
        <f aca="false">IF(J107="Yes",IF(I107="Correct","Incorrect","Correct"),I107)</f>
        <v>Incorrect</v>
      </c>
      <c r="L107" s="24" t="str">
        <f aca="false">IF(I107="Incorrect",IF(H107="Incorrect","TP","FN"),IF(H107="Incorrect","FP","TN"))</f>
        <v>TP</v>
      </c>
      <c r="M107" s="24" t="n">
        <f aca="false">IF(H107=I107,1,0)</f>
        <v>1</v>
      </c>
      <c r="N107" s="24" t="n">
        <f aca="false">IF(G107=I107,1,0)</f>
        <v>1</v>
      </c>
      <c r="O107" s="24" t="n">
        <f aca="false">IF(H107=K107,1,0)</f>
        <v>1</v>
      </c>
      <c r="P107" s="24"/>
      <c r="Q107" s="24" t="s">
        <v>83</v>
      </c>
    </row>
    <row r="108" customFormat="false" ht="15" hidden="false" customHeight="false" outlineLevel="0" collapsed="false">
      <c r="A108" s="11" t="s">
        <v>60</v>
      </c>
      <c r="B108" s="11" t="s">
        <v>31</v>
      </c>
      <c r="C108" s="11" t="n">
        <v>2</v>
      </c>
      <c r="D108" s="11" t="n">
        <v>7</v>
      </c>
      <c r="E108" s="25" t="n">
        <v>81.2</v>
      </c>
      <c r="F108" s="25" t="n">
        <v>151.1</v>
      </c>
      <c r="G108" s="11" t="s">
        <v>77</v>
      </c>
      <c r="H108" s="24" t="str">
        <f aca="false">IF(B108="Squat",IF(AND(E108&lt;=Summary!$B$7,OR(F108="",F108&lt;=Summary!$B$8)),"Correct","Incorrect"),IF(AND(E108&lt;=Summary!$B$9,OR(F108="",F108&gt;=Summary!$B$10)),"Correct","Incorrect"))</f>
        <v>Incorrect</v>
      </c>
      <c r="I108" s="26" t="s">
        <v>77</v>
      </c>
      <c r="J108" s="11" t="s">
        <v>78</v>
      </c>
      <c r="K108" s="24" t="str">
        <f aca="false">IF(J108="Yes",IF(I108="Correct","Incorrect","Correct"),I108)</f>
        <v>Incorrect</v>
      </c>
      <c r="L108" s="24" t="str">
        <f aca="false">IF(I108="Incorrect",IF(H108="Incorrect","TP","FN"),IF(H108="Incorrect","FP","TN"))</f>
        <v>TP</v>
      </c>
      <c r="M108" s="24" t="n">
        <f aca="false">IF(H108=I108,1,0)</f>
        <v>1</v>
      </c>
      <c r="N108" s="24" t="n">
        <f aca="false">IF(G108=I108,1,0)</f>
        <v>1</v>
      </c>
      <c r="O108" s="24" t="n">
        <f aca="false">IF(H108=K108,1,0)</f>
        <v>1</v>
      </c>
      <c r="P108" s="24"/>
      <c r="Q108" s="24" t="s">
        <v>83</v>
      </c>
    </row>
    <row r="109" customFormat="false" ht="15" hidden="false" customHeight="false" outlineLevel="0" collapsed="false">
      <c r="A109" s="11" t="s">
        <v>60</v>
      </c>
      <c r="B109" s="11" t="s">
        <v>31</v>
      </c>
      <c r="C109" s="11" t="n">
        <v>2</v>
      </c>
      <c r="D109" s="11" t="n">
        <v>8</v>
      </c>
      <c r="E109" s="25" t="n">
        <v>108.3</v>
      </c>
      <c r="F109" s="25" t="n">
        <v>154.9</v>
      </c>
      <c r="G109" s="11" t="s">
        <v>77</v>
      </c>
      <c r="H109" s="24" t="str">
        <f aca="false">IF(B109="Squat",IF(AND(E109&lt;=Summary!$B$7,OR(F109="",F109&lt;=Summary!$B$8)),"Correct","Incorrect"),IF(AND(E109&lt;=Summary!$B$9,OR(F109="",F109&gt;=Summary!$B$10)),"Correct","Incorrect"))</f>
        <v>Incorrect</v>
      </c>
      <c r="I109" s="26" t="s">
        <v>77</v>
      </c>
      <c r="J109" s="11" t="s">
        <v>78</v>
      </c>
      <c r="K109" s="24" t="str">
        <f aca="false">IF(J109="Yes",IF(I109="Correct","Incorrect","Correct"),I109)</f>
        <v>Incorrect</v>
      </c>
      <c r="L109" s="24" t="str">
        <f aca="false">IF(I109="Incorrect",IF(H109="Incorrect","TP","FN"),IF(H109="Incorrect","FP","TN"))</f>
        <v>TP</v>
      </c>
      <c r="M109" s="24" t="n">
        <f aca="false">IF(H109=I109,1,0)</f>
        <v>1</v>
      </c>
      <c r="N109" s="24" t="n">
        <f aca="false">IF(G109=I109,1,0)</f>
        <v>1</v>
      </c>
      <c r="O109" s="24" t="n">
        <f aca="false">IF(H109=K109,1,0)</f>
        <v>1</v>
      </c>
      <c r="P109" s="24"/>
      <c r="Q109" s="24" t="s">
        <v>83</v>
      </c>
    </row>
    <row r="110" customFormat="false" ht="15" hidden="false" customHeight="false" outlineLevel="0" collapsed="false">
      <c r="A110" s="11" t="s">
        <v>60</v>
      </c>
      <c r="B110" s="11" t="s">
        <v>31</v>
      </c>
      <c r="C110" s="11" t="n">
        <v>2</v>
      </c>
      <c r="D110" s="11" t="n">
        <v>9</v>
      </c>
      <c r="E110" s="25" t="n">
        <v>97.7</v>
      </c>
      <c r="F110" s="25" t="n">
        <v>150.1</v>
      </c>
      <c r="G110" s="11" t="s">
        <v>77</v>
      </c>
      <c r="H110" s="24" t="str">
        <f aca="false">IF(B110="Squat",IF(AND(E110&lt;=Summary!$B$7,OR(F110="",F110&lt;=Summary!$B$8)),"Correct","Incorrect"),IF(AND(E110&lt;=Summary!$B$9,OR(F110="",F110&gt;=Summary!$B$10)),"Correct","Incorrect"))</f>
        <v>Incorrect</v>
      </c>
      <c r="I110" s="26" t="s">
        <v>77</v>
      </c>
      <c r="J110" s="11" t="s">
        <v>78</v>
      </c>
      <c r="K110" s="24" t="str">
        <f aca="false">IF(J110="Yes",IF(I110="Correct","Incorrect","Correct"),I110)</f>
        <v>Incorrect</v>
      </c>
      <c r="L110" s="24" t="str">
        <f aca="false">IF(I110="Incorrect",IF(H110="Incorrect","TP","FN"),IF(H110="Incorrect","FP","TN"))</f>
        <v>TP</v>
      </c>
      <c r="M110" s="24" t="n">
        <f aca="false">IF(H110=I110,1,0)</f>
        <v>1</v>
      </c>
      <c r="N110" s="24" t="n">
        <f aca="false">IF(G110=I110,1,0)</f>
        <v>1</v>
      </c>
      <c r="O110" s="24" t="n">
        <f aca="false">IF(H110=K110,1,0)</f>
        <v>1</v>
      </c>
      <c r="P110" s="24"/>
      <c r="Q110" s="24" t="s">
        <v>83</v>
      </c>
    </row>
    <row r="111" customFormat="false" ht="15" hidden="false" customHeight="false" outlineLevel="0" collapsed="false">
      <c r="A111" s="11" t="s">
        <v>60</v>
      </c>
      <c r="B111" s="11" t="s">
        <v>31</v>
      </c>
      <c r="C111" s="11" t="n">
        <v>2</v>
      </c>
      <c r="D111" s="11" t="n">
        <v>10</v>
      </c>
      <c r="E111" s="25" t="n">
        <v>96.1</v>
      </c>
      <c r="F111" s="25" t="n">
        <v>149.3</v>
      </c>
      <c r="G111" s="11" t="s">
        <v>77</v>
      </c>
      <c r="H111" s="24" t="str">
        <f aca="false">IF(B111="Squat",IF(AND(E111&lt;=Summary!$B$7,OR(F111="",F111&lt;=Summary!$B$8)),"Correct","Incorrect"),IF(AND(E111&lt;=Summary!$B$9,OR(F111="",F111&gt;=Summary!$B$10)),"Correct","Incorrect"))</f>
        <v>Incorrect</v>
      </c>
      <c r="I111" s="26" t="s">
        <v>77</v>
      </c>
      <c r="J111" s="11" t="s">
        <v>78</v>
      </c>
      <c r="K111" s="24" t="str">
        <f aca="false">IF(J111="Yes",IF(I111="Correct","Incorrect","Correct"),I111)</f>
        <v>Incorrect</v>
      </c>
      <c r="L111" s="24" t="str">
        <f aca="false">IF(I111="Incorrect",IF(H111="Incorrect","TP","FN"),IF(H111="Incorrect","FP","TN"))</f>
        <v>TP</v>
      </c>
      <c r="M111" s="24" t="n">
        <f aca="false">IF(H111=I111,1,0)</f>
        <v>1</v>
      </c>
      <c r="N111" s="24" t="n">
        <f aca="false">IF(G111=I111,1,0)</f>
        <v>1</v>
      </c>
      <c r="O111" s="24" t="n">
        <f aca="false">IF(H111=K111,1,0)</f>
        <v>1</v>
      </c>
      <c r="P111" s="24"/>
      <c r="Q111" s="24" t="s">
        <v>83</v>
      </c>
    </row>
    <row r="112" customFormat="false" ht="15" hidden="false" customHeight="false" outlineLevel="0" collapsed="false">
      <c r="A112" s="11" t="s">
        <v>60</v>
      </c>
      <c r="B112" s="11" t="s">
        <v>31</v>
      </c>
      <c r="C112" s="11" t="n">
        <v>3</v>
      </c>
      <c r="D112" s="11" t="n">
        <v>1</v>
      </c>
      <c r="E112" s="25" t="n">
        <v>69.5</v>
      </c>
      <c r="F112" s="25" t="n">
        <v>175.1</v>
      </c>
      <c r="G112" s="11" t="s">
        <v>80</v>
      </c>
      <c r="H112" s="24" t="str">
        <f aca="false">IF(B112="Squat",IF(AND(E112&lt;=Summary!$B$7,OR(F112="",F112&lt;=Summary!$B$8)),"Correct","Incorrect"),IF(AND(E112&lt;=Summary!$B$9,OR(F112="",F112&gt;=Summary!$B$10)),"Correct","Incorrect"))</f>
        <v>Correct</v>
      </c>
      <c r="I112" s="26" t="s">
        <v>80</v>
      </c>
      <c r="J112" s="11" t="s">
        <v>78</v>
      </c>
      <c r="K112" s="24" t="str">
        <f aca="false">IF(J112="Yes",IF(I112="Correct","Incorrect","Correct"),I112)</f>
        <v>Correct</v>
      </c>
      <c r="L112" s="24" t="str">
        <f aca="false">IF(I112="Incorrect",IF(H112="Incorrect","TP","FN"),IF(H112="Incorrect","FP","TN"))</f>
        <v>TN</v>
      </c>
      <c r="M112" s="24" t="n">
        <f aca="false">IF(H112=I112,1,0)</f>
        <v>1</v>
      </c>
      <c r="N112" s="24" t="n">
        <f aca="false">IF(G112=I112,1,0)</f>
        <v>1</v>
      </c>
      <c r="O112" s="24" t="n">
        <f aca="false">IF(H112=K112,1,0)</f>
        <v>1</v>
      </c>
      <c r="P112" s="24"/>
      <c r="Q112" s="24" t="s">
        <v>83</v>
      </c>
    </row>
    <row r="113" customFormat="false" ht="15" hidden="false" customHeight="false" outlineLevel="0" collapsed="false">
      <c r="A113" s="11" t="s">
        <v>60</v>
      </c>
      <c r="B113" s="11" t="s">
        <v>31</v>
      </c>
      <c r="C113" s="11" t="n">
        <v>3</v>
      </c>
      <c r="D113" s="11" t="n">
        <v>2</v>
      </c>
      <c r="E113" s="25" t="n">
        <v>72.9</v>
      </c>
      <c r="F113" s="25" t="n">
        <v>177.3</v>
      </c>
      <c r="G113" s="11" t="s">
        <v>80</v>
      </c>
      <c r="H113" s="24" t="str">
        <f aca="false">IF(B113="Squat",IF(AND(E113&lt;=Summary!$B$7,OR(F113="",F113&lt;=Summary!$B$8)),"Correct","Incorrect"),IF(AND(E113&lt;=Summary!$B$9,OR(F113="",F113&gt;=Summary!$B$10)),"Correct","Incorrect"))</f>
        <v>Correct</v>
      </c>
      <c r="I113" s="26" t="s">
        <v>80</v>
      </c>
      <c r="J113" s="11" t="s">
        <v>78</v>
      </c>
      <c r="K113" s="24" t="str">
        <f aca="false">IF(J113="Yes",IF(I113="Correct","Incorrect","Correct"),I113)</f>
        <v>Correct</v>
      </c>
      <c r="L113" s="24" t="str">
        <f aca="false">IF(I113="Incorrect",IF(H113="Incorrect","TP","FN"),IF(H113="Incorrect","FP","TN"))</f>
        <v>TN</v>
      </c>
      <c r="M113" s="24" t="n">
        <f aca="false">IF(H113=I113,1,0)</f>
        <v>1</v>
      </c>
      <c r="N113" s="24" t="n">
        <f aca="false">IF(G113=I113,1,0)</f>
        <v>1</v>
      </c>
      <c r="O113" s="24" t="n">
        <f aca="false">IF(H113=K113,1,0)</f>
        <v>1</v>
      </c>
      <c r="P113" s="24"/>
      <c r="Q113" s="24" t="s">
        <v>83</v>
      </c>
    </row>
    <row r="114" customFormat="false" ht="15" hidden="false" customHeight="false" outlineLevel="0" collapsed="false">
      <c r="A114" s="11" t="s">
        <v>60</v>
      </c>
      <c r="B114" s="11" t="s">
        <v>31</v>
      </c>
      <c r="C114" s="11" t="n">
        <v>3</v>
      </c>
      <c r="D114" s="11" t="n">
        <v>3</v>
      </c>
      <c r="E114" s="25" t="n">
        <v>70</v>
      </c>
      <c r="F114" s="25" t="n">
        <v>174.4</v>
      </c>
      <c r="G114" s="11" t="s">
        <v>80</v>
      </c>
      <c r="H114" s="24" t="str">
        <f aca="false">IF(B114="Squat",IF(AND(E114&lt;=Summary!$B$7,OR(F114="",F114&lt;=Summary!$B$8)),"Correct","Incorrect"),IF(AND(E114&lt;=Summary!$B$9,OR(F114="",F114&gt;=Summary!$B$10)),"Correct","Incorrect"))</f>
        <v>Correct</v>
      </c>
      <c r="I114" s="26" t="s">
        <v>80</v>
      </c>
      <c r="J114" s="11" t="s">
        <v>78</v>
      </c>
      <c r="K114" s="24" t="str">
        <f aca="false">IF(J114="Yes",IF(I114="Correct","Incorrect","Correct"),I114)</f>
        <v>Correct</v>
      </c>
      <c r="L114" s="24" t="str">
        <f aca="false">IF(I114="Incorrect",IF(H114="Incorrect","TP","FN"),IF(H114="Incorrect","FP","TN"))</f>
        <v>TN</v>
      </c>
      <c r="M114" s="24" t="n">
        <f aca="false">IF(H114=I114,1,0)</f>
        <v>1</v>
      </c>
      <c r="N114" s="24" t="n">
        <f aca="false">IF(G114=I114,1,0)</f>
        <v>1</v>
      </c>
      <c r="O114" s="24" t="n">
        <f aca="false">IF(H114=K114,1,0)</f>
        <v>1</v>
      </c>
      <c r="P114" s="24"/>
      <c r="Q114" s="24" t="s">
        <v>83</v>
      </c>
    </row>
    <row r="115" customFormat="false" ht="15" hidden="false" customHeight="false" outlineLevel="0" collapsed="false">
      <c r="A115" s="11" t="s">
        <v>60</v>
      </c>
      <c r="B115" s="11" t="s">
        <v>31</v>
      </c>
      <c r="C115" s="11" t="n">
        <v>3</v>
      </c>
      <c r="D115" s="11" t="n">
        <v>4</v>
      </c>
      <c r="E115" s="25" t="n">
        <v>83.5</v>
      </c>
      <c r="F115" s="25" t="n">
        <v>170.1</v>
      </c>
      <c r="G115" s="11" t="s">
        <v>80</v>
      </c>
      <c r="H115" s="24" t="str">
        <f aca="false">IF(B115="Squat",IF(AND(E115&lt;=Summary!$B$7,OR(F115="",F115&lt;=Summary!$B$8)),"Correct","Incorrect"),IF(AND(E115&lt;=Summary!$B$9,OR(F115="",F115&gt;=Summary!$B$10)),"Correct","Incorrect"))</f>
        <v>Correct</v>
      </c>
      <c r="I115" s="26" t="s">
        <v>80</v>
      </c>
      <c r="J115" s="11" t="s">
        <v>78</v>
      </c>
      <c r="K115" s="24" t="str">
        <f aca="false">IF(J115="Yes",IF(I115="Correct","Incorrect","Correct"),I115)</f>
        <v>Correct</v>
      </c>
      <c r="L115" s="24" t="str">
        <f aca="false">IF(I115="Incorrect",IF(H115="Incorrect","TP","FN"),IF(H115="Incorrect","FP","TN"))</f>
        <v>TN</v>
      </c>
      <c r="M115" s="24" t="n">
        <f aca="false">IF(H115=I115,1,0)</f>
        <v>1</v>
      </c>
      <c r="N115" s="24" t="n">
        <f aca="false">IF(G115=I115,1,0)</f>
        <v>1</v>
      </c>
      <c r="O115" s="24" t="n">
        <f aca="false">IF(H115=K115,1,0)</f>
        <v>1</v>
      </c>
      <c r="P115" s="24"/>
      <c r="Q115" s="24" t="s">
        <v>83</v>
      </c>
    </row>
    <row r="116" customFormat="false" ht="15" hidden="false" customHeight="false" outlineLevel="0" collapsed="false">
      <c r="A116" s="11" t="s">
        <v>60</v>
      </c>
      <c r="B116" s="11" t="s">
        <v>31</v>
      </c>
      <c r="C116" s="11" t="n">
        <v>3</v>
      </c>
      <c r="D116" s="11" t="n">
        <v>5</v>
      </c>
      <c r="E116" s="25" t="n">
        <v>69.8</v>
      </c>
      <c r="F116" s="25" t="n">
        <v>177</v>
      </c>
      <c r="G116" s="11" t="s">
        <v>80</v>
      </c>
      <c r="H116" s="24" t="str">
        <f aca="false">IF(B116="Squat",IF(AND(E116&lt;=Summary!$B$7,OR(F116="",F116&lt;=Summary!$B$8)),"Correct","Incorrect"),IF(AND(E116&lt;=Summary!$B$9,OR(F116="",F116&gt;=Summary!$B$10)),"Correct","Incorrect"))</f>
        <v>Correct</v>
      </c>
      <c r="I116" s="26" t="s">
        <v>80</v>
      </c>
      <c r="J116" s="11" t="s">
        <v>78</v>
      </c>
      <c r="K116" s="24" t="str">
        <f aca="false">IF(J116="Yes",IF(I116="Correct","Incorrect","Correct"),I116)</f>
        <v>Correct</v>
      </c>
      <c r="L116" s="24" t="str">
        <f aca="false">IF(I116="Incorrect",IF(H116="Incorrect","TP","FN"),IF(H116="Incorrect","FP","TN"))</f>
        <v>TN</v>
      </c>
      <c r="M116" s="24" t="n">
        <f aca="false">IF(H116=I116,1,0)</f>
        <v>1</v>
      </c>
      <c r="N116" s="24" t="n">
        <f aca="false">IF(G116=I116,1,0)</f>
        <v>1</v>
      </c>
      <c r="O116" s="24" t="n">
        <f aca="false">IF(H116=K116,1,0)</f>
        <v>1</v>
      </c>
      <c r="P116" s="24"/>
      <c r="Q116" s="24" t="s">
        <v>83</v>
      </c>
    </row>
    <row r="117" customFormat="false" ht="15" hidden="false" customHeight="false" outlineLevel="0" collapsed="false">
      <c r="A117" s="11" t="s">
        <v>60</v>
      </c>
      <c r="B117" s="11" t="s">
        <v>31</v>
      </c>
      <c r="C117" s="11" t="n">
        <v>3</v>
      </c>
      <c r="D117" s="11" t="n">
        <v>6</v>
      </c>
      <c r="E117" s="25" t="n">
        <v>77.2</v>
      </c>
      <c r="F117" s="25" t="n">
        <v>169.2</v>
      </c>
      <c r="G117" s="11" t="s">
        <v>80</v>
      </c>
      <c r="H117" s="24" t="str">
        <f aca="false">IF(B117="Squat",IF(AND(E117&lt;=Summary!$B$7,OR(F117="",F117&lt;=Summary!$B$8)),"Correct","Incorrect"),IF(AND(E117&lt;=Summary!$B$9,OR(F117="",F117&gt;=Summary!$B$10)),"Correct","Incorrect"))</f>
        <v>Correct</v>
      </c>
      <c r="I117" s="26" t="s">
        <v>80</v>
      </c>
      <c r="J117" s="11" t="s">
        <v>78</v>
      </c>
      <c r="K117" s="24" t="str">
        <f aca="false">IF(J117="Yes",IF(I117="Correct","Incorrect","Correct"),I117)</f>
        <v>Correct</v>
      </c>
      <c r="L117" s="24" t="str">
        <f aca="false">IF(I117="Incorrect",IF(H117="Incorrect","TP","FN"),IF(H117="Incorrect","FP","TN"))</f>
        <v>TN</v>
      </c>
      <c r="M117" s="24" t="n">
        <f aca="false">IF(H117=I117,1,0)</f>
        <v>1</v>
      </c>
      <c r="N117" s="24" t="n">
        <f aca="false">IF(G117=I117,1,0)</f>
        <v>1</v>
      </c>
      <c r="O117" s="24" t="n">
        <f aca="false">IF(H117=K117,1,0)</f>
        <v>1</v>
      </c>
      <c r="P117" s="24"/>
      <c r="Q117" s="24" t="s">
        <v>83</v>
      </c>
    </row>
    <row r="118" customFormat="false" ht="15" hidden="false" customHeight="false" outlineLevel="0" collapsed="false">
      <c r="A118" s="11" t="s">
        <v>60</v>
      </c>
      <c r="B118" s="11" t="s">
        <v>31</v>
      </c>
      <c r="C118" s="11" t="n">
        <v>3</v>
      </c>
      <c r="D118" s="11" t="n">
        <v>7</v>
      </c>
      <c r="E118" s="25" t="n">
        <v>60.6</v>
      </c>
      <c r="F118" s="25" t="n">
        <v>169.4</v>
      </c>
      <c r="G118" s="11" t="s">
        <v>80</v>
      </c>
      <c r="H118" s="24" t="str">
        <f aca="false">IF(B118="Squat",IF(AND(E118&lt;=Summary!$B$7,OR(F118="",F118&lt;=Summary!$B$8)),"Correct","Incorrect"),IF(AND(E118&lt;=Summary!$B$9,OR(F118="",F118&gt;=Summary!$B$10)),"Correct","Incorrect"))</f>
        <v>Correct</v>
      </c>
      <c r="I118" s="26" t="s">
        <v>80</v>
      </c>
      <c r="J118" s="11" t="s">
        <v>78</v>
      </c>
      <c r="K118" s="24" t="str">
        <f aca="false">IF(J118="Yes",IF(I118="Correct","Incorrect","Correct"),I118)</f>
        <v>Correct</v>
      </c>
      <c r="L118" s="24" t="str">
        <f aca="false">IF(I118="Incorrect",IF(H118="Incorrect","TP","FN"),IF(H118="Incorrect","FP","TN"))</f>
        <v>TN</v>
      </c>
      <c r="M118" s="24" t="n">
        <f aca="false">IF(H118=I118,1,0)</f>
        <v>1</v>
      </c>
      <c r="N118" s="24" t="n">
        <f aca="false">IF(G118=I118,1,0)</f>
        <v>1</v>
      </c>
      <c r="O118" s="24" t="n">
        <f aca="false">IF(H118=K118,1,0)</f>
        <v>1</v>
      </c>
      <c r="P118" s="24"/>
      <c r="Q118" s="24" t="s">
        <v>83</v>
      </c>
    </row>
    <row r="119" customFormat="false" ht="15" hidden="false" customHeight="false" outlineLevel="0" collapsed="false">
      <c r="A119" s="11" t="s">
        <v>60</v>
      </c>
      <c r="B119" s="11" t="s">
        <v>31</v>
      </c>
      <c r="C119" s="11" t="n">
        <v>3</v>
      </c>
      <c r="D119" s="11" t="n">
        <v>8</v>
      </c>
      <c r="E119" s="25" t="n">
        <v>67.8</v>
      </c>
      <c r="F119" s="25" t="n">
        <v>167.9</v>
      </c>
      <c r="G119" s="11" t="s">
        <v>80</v>
      </c>
      <c r="H119" s="24" t="str">
        <f aca="false">IF(B119="Squat",IF(AND(E119&lt;=Summary!$B$7,OR(F119="",F119&lt;=Summary!$B$8)),"Correct","Incorrect"),IF(AND(E119&lt;=Summary!$B$9,OR(F119="",F119&gt;=Summary!$B$10)),"Correct","Incorrect"))</f>
        <v>Correct</v>
      </c>
      <c r="I119" s="26" t="s">
        <v>80</v>
      </c>
      <c r="J119" s="11" t="s">
        <v>78</v>
      </c>
      <c r="K119" s="24" t="str">
        <f aca="false">IF(J119="Yes",IF(I119="Correct","Incorrect","Correct"),I119)</f>
        <v>Correct</v>
      </c>
      <c r="L119" s="24" t="str">
        <f aca="false">IF(I119="Incorrect",IF(H119="Incorrect","TP","FN"),IF(H119="Incorrect","FP","TN"))</f>
        <v>TN</v>
      </c>
      <c r="M119" s="24" t="n">
        <f aca="false">IF(H119=I119,1,0)</f>
        <v>1</v>
      </c>
      <c r="N119" s="24" t="n">
        <f aca="false">IF(G119=I119,1,0)</f>
        <v>1</v>
      </c>
      <c r="O119" s="24" t="n">
        <f aca="false">IF(H119=K119,1,0)</f>
        <v>1</v>
      </c>
      <c r="P119" s="24"/>
      <c r="Q119" s="24" t="s">
        <v>83</v>
      </c>
    </row>
    <row r="120" customFormat="false" ht="15" hidden="false" customHeight="false" outlineLevel="0" collapsed="false">
      <c r="A120" s="11" t="s">
        <v>60</v>
      </c>
      <c r="B120" s="11" t="s">
        <v>31</v>
      </c>
      <c r="C120" s="11" t="n">
        <v>3</v>
      </c>
      <c r="D120" s="11" t="n">
        <v>9</v>
      </c>
      <c r="E120" s="25" t="n">
        <v>72.2</v>
      </c>
      <c r="F120" s="25" t="n">
        <v>166</v>
      </c>
      <c r="G120" s="11" t="s">
        <v>80</v>
      </c>
      <c r="H120" s="24" t="str">
        <f aca="false">IF(B120="Squat",IF(AND(E120&lt;=Summary!$B$7,OR(F120="",F120&lt;=Summary!$B$8)),"Correct","Incorrect"),IF(AND(E120&lt;=Summary!$B$9,OR(F120="",F120&gt;=Summary!$B$10)),"Correct","Incorrect"))</f>
        <v>Correct</v>
      </c>
      <c r="I120" s="26" t="s">
        <v>80</v>
      </c>
      <c r="J120" s="11" t="s">
        <v>78</v>
      </c>
      <c r="K120" s="24" t="str">
        <f aca="false">IF(J120="Yes",IF(I120="Correct","Incorrect","Correct"),I120)</f>
        <v>Correct</v>
      </c>
      <c r="L120" s="24" t="str">
        <f aca="false">IF(I120="Incorrect",IF(H120="Incorrect","TP","FN"),IF(H120="Incorrect","FP","TN"))</f>
        <v>TN</v>
      </c>
      <c r="M120" s="24" t="n">
        <f aca="false">IF(H120=I120,1,0)</f>
        <v>1</v>
      </c>
      <c r="N120" s="24" t="n">
        <f aca="false">IF(G120=I120,1,0)</f>
        <v>1</v>
      </c>
      <c r="O120" s="24" t="n">
        <f aca="false">IF(H120=K120,1,0)</f>
        <v>1</v>
      </c>
      <c r="P120" s="24"/>
      <c r="Q120" s="24" t="s">
        <v>83</v>
      </c>
    </row>
    <row r="121" customFormat="false" ht="15" hidden="false" customHeight="false" outlineLevel="0" collapsed="false">
      <c r="A121" s="11" t="s">
        <v>60</v>
      </c>
      <c r="B121" s="11" t="s">
        <v>31</v>
      </c>
      <c r="C121" s="11" t="n">
        <v>3</v>
      </c>
      <c r="D121" s="11" t="n">
        <v>10</v>
      </c>
      <c r="E121" s="25" t="n">
        <v>69.1</v>
      </c>
      <c r="F121" s="25" t="n">
        <v>165.9</v>
      </c>
      <c r="G121" s="11" t="s">
        <v>80</v>
      </c>
      <c r="H121" s="24" t="str">
        <f aca="false">IF(B121="Squat",IF(AND(E121&lt;=Summary!$B$7,OR(F121="",F121&lt;=Summary!$B$8)),"Correct","Incorrect"),IF(AND(E121&lt;=Summary!$B$9,OR(F121="",F121&gt;=Summary!$B$10)),"Correct","Incorrect"))</f>
        <v>Correct</v>
      </c>
      <c r="I121" s="26" t="s">
        <v>80</v>
      </c>
      <c r="J121" s="11" t="s">
        <v>78</v>
      </c>
      <c r="K121" s="24" t="str">
        <f aca="false">IF(J121="Yes",IF(I121="Correct","Incorrect","Correct"),I121)</f>
        <v>Correct</v>
      </c>
      <c r="L121" s="24" t="str">
        <f aca="false">IF(I121="Incorrect",IF(H121="Incorrect","TP","FN"),IF(H121="Incorrect","FP","TN"))</f>
        <v>TN</v>
      </c>
      <c r="M121" s="24" t="n">
        <f aca="false">IF(H121=I121,1,0)</f>
        <v>1</v>
      </c>
      <c r="N121" s="24" t="n">
        <f aca="false">IF(G121=I121,1,0)</f>
        <v>1</v>
      </c>
      <c r="O121" s="24" t="n">
        <f aca="false">IF(H121=K121,1,0)</f>
        <v>1</v>
      </c>
      <c r="P121" s="24"/>
      <c r="Q121" s="24" t="s">
        <v>83</v>
      </c>
    </row>
    <row r="122" customFormat="false" ht="15" hidden="false" customHeight="false" outlineLevel="0" collapsed="false">
      <c r="A122" s="11" t="s">
        <v>61</v>
      </c>
      <c r="B122" s="11" t="s">
        <v>31</v>
      </c>
      <c r="C122" s="11" t="n">
        <v>1</v>
      </c>
      <c r="D122" s="11" t="n">
        <v>1</v>
      </c>
      <c r="E122" s="25" t="n">
        <v>61.8</v>
      </c>
      <c r="F122" s="25" t="n">
        <v>137.8</v>
      </c>
      <c r="G122" s="11" t="s">
        <v>77</v>
      </c>
      <c r="H122" s="24" t="str">
        <f aca="false">IF(B122="Squat",IF(AND(E122&lt;=Summary!$B$7,OR(F122="",F122&lt;=Summary!$B$8)),"Correct","Incorrect"),IF(AND(E122&lt;=Summary!$B$9,OR(F122="",F122&gt;=Summary!$B$10)),"Correct","Incorrect"))</f>
        <v>Incorrect</v>
      </c>
      <c r="I122" s="26" t="s">
        <v>77</v>
      </c>
      <c r="J122" s="11" t="s">
        <v>78</v>
      </c>
      <c r="K122" s="24" t="str">
        <f aca="false">IF(J122="Yes",IF(I122="Correct","Incorrect","Correct"),I122)</f>
        <v>Incorrect</v>
      </c>
      <c r="L122" s="24" t="str">
        <f aca="false">IF(I122="Incorrect",IF(H122="Incorrect","TP","FN"),IF(H122="Incorrect","FP","TN"))</f>
        <v>TP</v>
      </c>
      <c r="M122" s="24" t="n">
        <f aca="false">IF(H122=I122,1,0)</f>
        <v>1</v>
      </c>
      <c r="N122" s="24" t="n">
        <f aca="false">IF(G122=I122,1,0)</f>
        <v>1</v>
      </c>
      <c r="O122" s="24" t="n">
        <f aca="false">IF(H122=K122,1,0)</f>
        <v>1</v>
      </c>
      <c r="P122" s="24"/>
      <c r="Q122" s="24" t="s">
        <v>84</v>
      </c>
    </row>
    <row r="123" customFormat="false" ht="15" hidden="false" customHeight="false" outlineLevel="0" collapsed="false">
      <c r="A123" s="11" t="s">
        <v>61</v>
      </c>
      <c r="B123" s="11" t="s">
        <v>31</v>
      </c>
      <c r="C123" s="11" t="n">
        <v>1</v>
      </c>
      <c r="D123" s="11" t="n">
        <v>2</v>
      </c>
      <c r="E123" s="25" t="n">
        <v>60.8</v>
      </c>
      <c r="F123" s="25" t="n">
        <v>139</v>
      </c>
      <c r="G123" s="11" t="s">
        <v>77</v>
      </c>
      <c r="H123" s="24" t="str">
        <f aca="false">IF(B123="Squat",IF(AND(E123&lt;=Summary!$B$7,OR(F123="",F123&lt;=Summary!$B$8)),"Correct","Incorrect"),IF(AND(E123&lt;=Summary!$B$9,OR(F123="",F123&gt;=Summary!$B$10)),"Correct","Incorrect"))</f>
        <v>Incorrect</v>
      </c>
      <c r="I123" s="26" t="s">
        <v>77</v>
      </c>
      <c r="J123" s="11" t="s">
        <v>78</v>
      </c>
      <c r="K123" s="24" t="str">
        <f aca="false">IF(J123="Yes",IF(I123="Correct","Incorrect","Correct"),I123)</f>
        <v>Incorrect</v>
      </c>
      <c r="L123" s="24" t="str">
        <f aca="false">IF(I123="Incorrect",IF(H123="Incorrect","TP","FN"),IF(H123="Incorrect","FP","TN"))</f>
        <v>TP</v>
      </c>
      <c r="M123" s="24" t="n">
        <f aca="false">IF(H123=I123,1,0)</f>
        <v>1</v>
      </c>
      <c r="N123" s="24" t="n">
        <f aca="false">IF(G123=I123,1,0)</f>
        <v>1</v>
      </c>
      <c r="O123" s="24" t="n">
        <f aca="false">IF(H123=K123,1,0)</f>
        <v>1</v>
      </c>
      <c r="P123" s="24"/>
      <c r="Q123" s="24" t="s">
        <v>84</v>
      </c>
    </row>
    <row r="124" customFormat="false" ht="15" hidden="false" customHeight="false" outlineLevel="0" collapsed="false">
      <c r="A124" s="11" t="s">
        <v>61</v>
      </c>
      <c r="B124" s="11" t="s">
        <v>31</v>
      </c>
      <c r="C124" s="11" t="n">
        <v>1</v>
      </c>
      <c r="D124" s="11" t="n">
        <v>3</v>
      </c>
      <c r="E124" s="25" t="n">
        <v>56.1</v>
      </c>
      <c r="F124" s="25" t="n">
        <v>137.8</v>
      </c>
      <c r="G124" s="11" t="s">
        <v>77</v>
      </c>
      <c r="H124" s="24" t="str">
        <f aca="false">IF(B124="Squat",IF(AND(E124&lt;=Summary!$B$7,OR(F124="",F124&lt;=Summary!$B$8)),"Correct","Incorrect"),IF(AND(E124&lt;=Summary!$B$9,OR(F124="",F124&gt;=Summary!$B$10)),"Correct","Incorrect"))</f>
        <v>Incorrect</v>
      </c>
      <c r="I124" s="26" t="s">
        <v>77</v>
      </c>
      <c r="J124" s="11" t="s">
        <v>78</v>
      </c>
      <c r="K124" s="24" t="str">
        <f aca="false">IF(J124="Yes",IF(I124="Correct","Incorrect","Correct"),I124)</f>
        <v>Incorrect</v>
      </c>
      <c r="L124" s="24" t="str">
        <f aca="false">IF(I124="Incorrect",IF(H124="Incorrect","TP","FN"),IF(H124="Incorrect","FP","TN"))</f>
        <v>TP</v>
      </c>
      <c r="M124" s="24" t="n">
        <f aca="false">IF(H124=I124,1,0)</f>
        <v>1</v>
      </c>
      <c r="N124" s="24" t="n">
        <f aca="false">IF(G124=I124,1,0)</f>
        <v>1</v>
      </c>
      <c r="O124" s="24" t="n">
        <f aca="false">IF(H124=K124,1,0)</f>
        <v>1</v>
      </c>
      <c r="P124" s="24"/>
      <c r="Q124" s="24" t="s">
        <v>84</v>
      </c>
    </row>
    <row r="125" customFormat="false" ht="15" hidden="false" customHeight="false" outlineLevel="0" collapsed="false">
      <c r="A125" s="11" t="s">
        <v>61</v>
      </c>
      <c r="B125" s="11" t="s">
        <v>31</v>
      </c>
      <c r="C125" s="11" t="n">
        <v>1</v>
      </c>
      <c r="D125" s="11" t="n">
        <v>4</v>
      </c>
      <c r="E125" s="25" t="n">
        <v>86.2</v>
      </c>
      <c r="F125" s="25" t="n">
        <v>94.7</v>
      </c>
      <c r="G125" s="11" t="s">
        <v>77</v>
      </c>
      <c r="H125" s="24" t="str">
        <f aca="false">IF(B125="Squat",IF(AND(E125&lt;=Summary!$B$7,OR(F125="",F125&lt;=Summary!$B$8)),"Correct","Incorrect"),IF(AND(E125&lt;=Summary!$B$9,OR(F125="",F125&gt;=Summary!$B$10)),"Correct","Incorrect"))</f>
        <v>Incorrect</v>
      </c>
      <c r="I125" s="26" t="s">
        <v>77</v>
      </c>
      <c r="J125" s="11" t="s">
        <v>78</v>
      </c>
      <c r="K125" s="24" t="str">
        <f aca="false">IF(J125="Yes",IF(I125="Correct","Incorrect","Correct"),I125)</f>
        <v>Incorrect</v>
      </c>
      <c r="L125" s="24" t="str">
        <f aca="false">IF(I125="Incorrect",IF(H125="Incorrect","TP","FN"),IF(H125="Incorrect","FP","TN"))</f>
        <v>TP</v>
      </c>
      <c r="M125" s="24" t="n">
        <f aca="false">IF(H125=I125,1,0)</f>
        <v>1</v>
      </c>
      <c r="N125" s="24" t="n">
        <f aca="false">IF(G125=I125,1,0)</f>
        <v>1</v>
      </c>
      <c r="O125" s="24" t="n">
        <f aca="false">IF(H125=K125,1,0)</f>
        <v>1</v>
      </c>
      <c r="P125" s="24"/>
      <c r="Q125" s="24" t="s">
        <v>84</v>
      </c>
    </row>
    <row r="126" customFormat="false" ht="15" hidden="false" customHeight="false" outlineLevel="0" collapsed="false">
      <c r="A126" s="11" t="s">
        <v>61</v>
      </c>
      <c r="B126" s="11" t="s">
        <v>31</v>
      </c>
      <c r="C126" s="11" t="n">
        <v>1</v>
      </c>
      <c r="D126" s="11" t="n">
        <v>5</v>
      </c>
      <c r="E126" s="25" t="n">
        <v>78.5</v>
      </c>
      <c r="F126" s="25" t="n">
        <v>94.5</v>
      </c>
      <c r="G126" s="11" t="s">
        <v>77</v>
      </c>
      <c r="H126" s="24" t="str">
        <f aca="false">IF(B126="Squat",IF(AND(E126&lt;=Summary!$B$7,OR(F126="",F126&lt;=Summary!$B$8)),"Correct","Incorrect"),IF(AND(E126&lt;=Summary!$B$9,OR(F126="",F126&gt;=Summary!$B$10)),"Correct","Incorrect"))</f>
        <v>Incorrect</v>
      </c>
      <c r="I126" s="26" t="s">
        <v>77</v>
      </c>
      <c r="J126" s="11" t="s">
        <v>78</v>
      </c>
      <c r="K126" s="24" t="str">
        <f aca="false">IF(J126="Yes",IF(I126="Correct","Incorrect","Correct"),I126)</f>
        <v>Incorrect</v>
      </c>
      <c r="L126" s="24" t="str">
        <f aca="false">IF(I126="Incorrect",IF(H126="Incorrect","TP","FN"),IF(H126="Incorrect","FP","TN"))</f>
        <v>TP</v>
      </c>
      <c r="M126" s="24" t="n">
        <f aca="false">IF(H126=I126,1,0)</f>
        <v>1</v>
      </c>
      <c r="N126" s="24" t="n">
        <f aca="false">IF(G126=I126,1,0)</f>
        <v>1</v>
      </c>
      <c r="O126" s="24" t="n">
        <f aca="false">IF(H126=K126,1,0)</f>
        <v>1</v>
      </c>
      <c r="P126" s="24"/>
      <c r="Q126" s="24" t="s">
        <v>84</v>
      </c>
    </row>
    <row r="127" customFormat="false" ht="15" hidden="false" customHeight="false" outlineLevel="0" collapsed="false">
      <c r="A127" s="11" t="s">
        <v>61</v>
      </c>
      <c r="B127" s="11" t="s">
        <v>31</v>
      </c>
      <c r="C127" s="11" t="n">
        <v>1</v>
      </c>
      <c r="D127" s="11" t="n">
        <v>6</v>
      </c>
      <c r="E127" s="25" t="n">
        <v>83.1</v>
      </c>
      <c r="F127" s="25" t="n">
        <v>96.6</v>
      </c>
      <c r="G127" s="11" t="s">
        <v>77</v>
      </c>
      <c r="H127" s="24" t="str">
        <f aca="false">IF(B127="Squat",IF(AND(E127&lt;=Summary!$B$7,OR(F127="",F127&lt;=Summary!$B$8)),"Correct","Incorrect"),IF(AND(E127&lt;=Summary!$B$9,OR(F127="",F127&gt;=Summary!$B$10)),"Correct","Incorrect"))</f>
        <v>Incorrect</v>
      </c>
      <c r="I127" s="26" t="s">
        <v>77</v>
      </c>
      <c r="J127" s="11" t="s">
        <v>78</v>
      </c>
      <c r="K127" s="24" t="str">
        <f aca="false">IF(J127="Yes",IF(I127="Correct","Incorrect","Correct"),I127)</f>
        <v>Incorrect</v>
      </c>
      <c r="L127" s="24" t="str">
        <f aca="false">IF(I127="Incorrect",IF(H127="Incorrect","TP","FN"),IF(H127="Incorrect","FP","TN"))</f>
        <v>TP</v>
      </c>
      <c r="M127" s="24" t="n">
        <f aca="false">IF(H127=I127,1,0)</f>
        <v>1</v>
      </c>
      <c r="N127" s="24" t="n">
        <f aca="false">IF(G127=I127,1,0)</f>
        <v>1</v>
      </c>
      <c r="O127" s="24" t="n">
        <f aca="false">IF(H127=K127,1,0)</f>
        <v>1</v>
      </c>
      <c r="P127" s="24"/>
      <c r="Q127" s="24" t="s">
        <v>84</v>
      </c>
    </row>
    <row r="128" customFormat="false" ht="15" hidden="false" customHeight="false" outlineLevel="0" collapsed="false">
      <c r="A128" s="11" t="s">
        <v>61</v>
      </c>
      <c r="B128" s="11" t="s">
        <v>31</v>
      </c>
      <c r="C128" s="11" t="n">
        <v>1</v>
      </c>
      <c r="D128" s="11" t="n">
        <v>7</v>
      </c>
      <c r="E128" s="25" t="n">
        <v>88.6</v>
      </c>
      <c r="F128" s="25" t="n">
        <v>94.3</v>
      </c>
      <c r="G128" s="11" t="s">
        <v>77</v>
      </c>
      <c r="H128" s="24" t="str">
        <f aca="false">IF(B128="Squat",IF(AND(E128&lt;=Summary!$B$7,OR(F128="",F128&lt;=Summary!$B$8)),"Correct","Incorrect"),IF(AND(E128&lt;=Summary!$B$9,OR(F128="",F128&gt;=Summary!$B$10)),"Correct","Incorrect"))</f>
        <v>Incorrect</v>
      </c>
      <c r="I128" s="26" t="s">
        <v>77</v>
      </c>
      <c r="J128" s="11" t="s">
        <v>78</v>
      </c>
      <c r="K128" s="24" t="str">
        <f aca="false">IF(J128="Yes",IF(I128="Correct","Incorrect","Correct"),I128)</f>
        <v>Incorrect</v>
      </c>
      <c r="L128" s="24" t="str">
        <f aca="false">IF(I128="Incorrect",IF(H128="Incorrect","TP","FN"),IF(H128="Incorrect","FP","TN"))</f>
        <v>TP</v>
      </c>
      <c r="M128" s="24" t="n">
        <f aca="false">IF(H128=I128,1,0)</f>
        <v>1</v>
      </c>
      <c r="N128" s="24" t="n">
        <f aca="false">IF(G128=I128,1,0)</f>
        <v>1</v>
      </c>
      <c r="O128" s="24" t="n">
        <f aca="false">IF(H128=K128,1,0)</f>
        <v>1</v>
      </c>
      <c r="P128" s="24"/>
      <c r="Q128" s="24" t="s">
        <v>84</v>
      </c>
    </row>
    <row r="129" customFormat="false" ht="15" hidden="false" customHeight="false" outlineLevel="0" collapsed="false">
      <c r="A129" s="11" t="s">
        <v>61</v>
      </c>
      <c r="B129" s="11" t="s">
        <v>31</v>
      </c>
      <c r="C129" s="11" t="n">
        <v>1</v>
      </c>
      <c r="D129" s="11" t="n">
        <v>8</v>
      </c>
      <c r="E129" s="25" t="n">
        <v>68.9</v>
      </c>
      <c r="F129" s="25" t="n">
        <v>92.7</v>
      </c>
      <c r="G129" s="11" t="s">
        <v>77</v>
      </c>
      <c r="H129" s="24" t="str">
        <f aca="false">IF(B129="Squat",IF(AND(E129&lt;=Summary!$B$7,OR(F129="",F129&lt;=Summary!$B$8)),"Correct","Incorrect"),IF(AND(E129&lt;=Summary!$B$9,OR(F129="",F129&gt;=Summary!$B$10)),"Correct","Incorrect"))</f>
        <v>Incorrect</v>
      </c>
      <c r="I129" s="26" t="s">
        <v>77</v>
      </c>
      <c r="J129" s="11" t="s">
        <v>78</v>
      </c>
      <c r="K129" s="24" t="str">
        <f aca="false">IF(J129="Yes",IF(I129="Correct","Incorrect","Correct"),I129)</f>
        <v>Incorrect</v>
      </c>
      <c r="L129" s="24" t="str">
        <f aca="false">IF(I129="Incorrect",IF(H129="Incorrect","TP","FN"),IF(H129="Incorrect","FP","TN"))</f>
        <v>TP</v>
      </c>
      <c r="M129" s="24" t="n">
        <f aca="false">IF(H129=I129,1,0)</f>
        <v>1</v>
      </c>
      <c r="N129" s="24" t="n">
        <f aca="false">IF(G129=I129,1,0)</f>
        <v>1</v>
      </c>
      <c r="O129" s="24" t="n">
        <f aca="false">IF(H129=K129,1,0)</f>
        <v>1</v>
      </c>
      <c r="P129" s="24"/>
      <c r="Q129" s="24" t="s">
        <v>84</v>
      </c>
    </row>
    <row r="130" customFormat="false" ht="15" hidden="false" customHeight="false" outlineLevel="0" collapsed="false">
      <c r="A130" s="11" t="s">
        <v>61</v>
      </c>
      <c r="B130" s="11" t="s">
        <v>31</v>
      </c>
      <c r="C130" s="11" t="n">
        <v>1</v>
      </c>
      <c r="D130" s="11" t="n">
        <v>9</v>
      </c>
      <c r="E130" s="25" t="n">
        <v>74.5</v>
      </c>
      <c r="F130" s="25" t="n">
        <v>98</v>
      </c>
      <c r="G130" s="11" t="s">
        <v>77</v>
      </c>
      <c r="H130" s="24" t="str">
        <f aca="false">IF(B130="Squat",IF(AND(E130&lt;=Summary!$B$7,OR(F130="",F130&lt;=Summary!$B$8)),"Correct","Incorrect"),IF(AND(E130&lt;=Summary!$B$9,OR(F130="",F130&gt;=Summary!$B$10)),"Correct","Incorrect"))</f>
        <v>Incorrect</v>
      </c>
      <c r="I130" s="26" t="s">
        <v>77</v>
      </c>
      <c r="J130" s="11" t="s">
        <v>78</v>
      </c>
      <c r="K130" s="24" t="str">
        <f aca="false">IF(J130="Yes",IF(I130="Correct","Incorrect","Correct"),I130)</f>
        <v>Incorrect</v>
      </c>
      <c r="L130" s="24" t="str">
        <f aca="false">IF(I130="Incorrect",IF(H130="Incorrect","TP","FN"),IF(H130="Incorrect","FP","TN"))</f>
        <v>TP</v>
      </c>
      <c r="M130" s="24" t="n">
        <f aca="false">IF(H130=I130,1,0)</f>
        <v>1</v>
      </c>
      <c r="N130" s="24" t="n">
        <f aca="false">IF(G130=I130,1,0)</f>
        <v>1</v>
      </c>
      <c r="O130" s="24" t="n">
        <f aca="false">IF(H130=K130,1,0)</f>
        <v>1</v>
      </c>
      <c r="P130" s="24"/>
      <c r="Q130" s="24" t="s">
        <v>84</v>
      </c>
    </row>
    <row r="131" customFormat="false" ht="15" hidden="false" customHeight="false" outlineLevel="0" collapsed="false">
      <c r="A131" s="11" t="s">
        <v>61</v>
      </c>
      <c r="B131" s="11" t="s">
        <v>31</v>
      </c>
      <c r="C131" s="11" t="n">
        <v>1</v>
      </c>
      <c r="D131" s="11" t="n">
        <v>10</v>
      </c>
      <c r="E131" s="25" t="n">
        <v>82.9</v>
      </c>
      <c r="F131" s="25" t="n">
        <v>83.8</v>
      </c>
      <c r="G131" s="11" t="s">
        <v>77</v>
      </c>
      <c r="H131" s="24" t="str">
        <f aca="false">IF(B131="Squat",IF(AND(E131&lt;=Summary!$B$7,OR(F131="",F131&lt;=Summary!$B$8)),"Correct","Incorrect"),IF(AND(E131&lt;=Summary!$B$9,OR(F131="",F131&gt;=Summary!$B$10)),"Correct","Incorrect"))</f>
        <v>Incorrect</v>
      </c>
      <c r="I131" s="26" t="s">
        <v>77</v>
      </c>
      <c r="J131" s="11" t="s">
        <v>78</v>
      </c>
      <c r="K131" s="24" t="str">
        <f aca="false">IF(J131="Yes",IF(I131="Correct","Incorrect","Correct"),I131)</f>
        <v>Incorrect</v>
      </c>
      <c r="L131" s="24" t="str">
        <f aca="false">IF(I131="Incorrect",IF(H131="Incorrect","TP","FN"),IF(H131="Incorrect","FP","TN"))</f>
        <v>TP</v>
      </c>
      <c r="M131" s="24" t="n">
        <f aca="false">IF(H131=I131,1,0)</f>
        <v>1</v>
      </c>
      <c r="N131" s="24" t="n">
        <f aca="false">IF(G131=I131,1,0)</f>
        <v>1</v>
      </c>
      <c r="O131" s="24" t="n">
        <f aca="false">IF(H131=K131,1,0)</f>
        <v>1</v>
      </c>
      <c r="P131" s="24"/>
      <c r="Q131" s="24" t="s">
        <v>84</v>
      </c>
    </row>
    <row r="132" customFormat="false" ht="15" hidden="false" customHeight="false" outlineLevel="0" collapsed="false">
      <c r="A132" s="11" t="s">
        <v>61</v>
      </c>
      <c r="B132" s="11" t="s">
        <v>31</v>
      </c>
      <c r="C132" s="11" t="n">
        <v>2</v>
      </c>
      <c r="D132" s="11" t="n">
        <v>1</v>
      </c>
      <c r="E132" s="25" t="n">
        <v>69.1</v>
      </c>
      <c r="F132" s="25" t="n">
        <v>136.2</v>
      </c>
      <c r="G132" s="11" t="s">
        <v>77</v>
      </c>
      <c r="H132" s="24" t="str">
        <f aca="false">IF(B132="Squat",IF(AND(E132&lt;=Summary!$B$7,OR(F132="",F132&lt;=Summary!$B$8)),"Correct","Incorrect"),IF(AND(E132&lt;=Summary!$B$9,OR(F132="",F132&gt;=Summary!$B$10)),"Correct","Incorrect"))</f>
        <v>Incorrect</v>
      </c>
      <c r="I132" s="26" t="s">
        <v>77</v>
      </c>
      <c r="J132" s="11" t="s">
        <v>78</v>
      </c>
      <c r="K132" s="24" t="str">
        <f aca="false">IF(J132="Yes",IF(I132="Correct","Incorrect","Correct"),I132)</f>
        <v>Incorrect</v>
      </c>
      <c r="L132" s="24" t="str">
        <f aca="false">IF(I132="Incorrect",IF(H132="Incorrect","TP","FN"),IF(H132="Incorrect","FP","TN"))</f>
        <v>TP</v>
      </c>
      <c r="M132" s="24" t="n">
        <f aca="false">IF(H132=I132,1,0)</f>
        <v>1</v>
      </c>
      <c r="N132" s="24" t="n">
        <f aca="false">IF(G132=I132,1,0)</f>
        <v>1</v>
      </c>
      <c r="O132" s="24" t="n">
        <f aca="false">IF(H132=K132,1,0)</f>
        <v>1</v>
      </c>
      <c r="P132" s="24"/>
      <c r="Q132" s="24" t="s">
        <v>84</v>
      </c>
    </row>
    <row r="133" customFormat="false" ht="15" hidden="false" customHeight="false" outlineLevel="0" collapsed="false">
      <c r="A133" s="11" t="s">
        <v>61</v>
      </c>
      <c r="B133" s="11" t="s">
        <v>31</v>
      </c>
      <c r="C133" s="11" t="n">
        <v>2</v>
      </c>
      <c r="D133" s="11" t="n">
        <v>2</v>
      </c>
      <c r="E133" s="25" t="n">
        <v>67.5</v>
      </c>
      <c r="F133" s="25" t="n">
        <v>134.5</v>
      </c>
      <c r="G133" s="11" t="s">
        <v>77</v>
      </c>
      <c r="H133" s="24" t="str">
        <f aca="false">IF(B133="Squat",IF(AND(E133&lt;=Summary!$B$7,OR(F133="",F133&lt;=Summary!$B$8)),"Correct","Incorrect"),IF(AND(E133&lt;=Summary!$B$9,OR(F133="",F133&gt;=Summary!$B$10)),"Correct","Incorrect"))</f>
        <v>Incorrect</v>
      </c>
      <c r="I133" s="26" t="s">
        <v>77</v>
      </c>
      <c r="J133" s="11" t="s">
        <v>78</v>
      </c>
      <c r="K133" s="24" t="str">
        <f aca="false">IF(J133="Yes",IF(I133="Correct","Incorrect","Correct"),I133)</f>
        <v>Incorrect</v>
      </c>
      <c r="L133" s="24" t="str">
        <f aca="false">IF(I133="Incorrect",IF(H133="Incorrect","TP","FN"),IF(H133="Incorrect","FP","TN"))</f>
        <v>TP</v>
      </c>
      <c r="M133" s="24" t="n">
        <f aca="false">IF(H133=I133,1,0)</f>
        <v>1</v>
      </c>
      <c r="N133" s="24" t="n">
        <f aca="false">IF(G133=I133,1,0)</f>
        <v>1</v>
      </c>
      <c r="O133" s="24" t="n">
        <f aca="false">IF(H133=K133,1,0)</f>
        <v>1</v>
      </c>
      <c r="P133" s="24"/>
      <c r="Q133" s="24" t="s">
        <v>84</v>
      </c>
    </row>
    <row r="134" customFormat="false" ht="15" hidden="false" customHeight="false" outlineLevel="0" collapsed="false">
      <c r="A134" s="11" t="s">
        <v>61</v>
      </c>
      <c r="B134" s="11" t="s">
        <v>31</v>
      </c>
      <c r="C134" s="11" t="n">
        <v>2</v>
      </c>
      <c r="D134" s="11" t="n">
        <v>3</v>
      </c>
      <c r="E134" s="25" t="n">
        <v>49.7</v>
      </c>
      <c r="F134" s="25" t="n">
        <v>138.1</v>
      </c>
      <c r="G134" s="11" t="s">
        <v>77</v>
      </c>
      <c r="H134" s="24" t="str">
        <f aca="false">IF(B134="Squat",IF(AND(E134&lt;=Summary!$B$7,OR(F134="",F134&lt;=Summary!$B$8)),"Correct","Incorrect"),IF(AND(E134&lt;=Summary!$B$9,OR(F134="",F134&gt;=Summary!$B$10)),"Correct","Incorrect"))</f>
        <v>Incorrect</v>
      </c>
      <c r="I134" s="26" t="s">
        <v>77</v>
      </c>
      <c r="J134" s="11" t="s">
        <v>78</v>
      </c>
      <c r="K134" s="24" t="str">
        <f aca="false">IF(J134="Yes",IF(I134="Correct","Incorrect","Correct"),I134)</f>
        <v>Incorrect</v>
      </c>
      <c r="L134" s="24" t="str">
        <f aca="false">IF(I134="Incorrect",IF(H134="Incorrect","TP","FN"),IF(H134="Incorrect","FP","TN"))</f>
        <v>TP</v>
      </c>
      <c r="M134" s="24" t="n">
        <f aca="false">IF(H134=I134,1,0)</f>
        <v>1</v>
      </c>
      <c r="N134" s="24" t="n">
        <f aca="false">IF(G134=I134,1,0)</f>
        <v>1</v>
      </c>
      <c r="O134" s="24" t="n">
        <f aca="false">IF(H134=K134,1,0)</f>
        <v>1</v>
      </c>
      <c r="P134" s="24"/>
      <c r="Q134" s="24" t="s">
        <v>84</v>
      </c>
    </row>
    <row r="135" customFormat="false" ht="15" hidden="false" customHeight="false" outlineLevel="0" collapsed="false">
      <c r="A135" s="11" t="s">
        <v>61</v>
      </c>
      <c r="B135" s="11" t="s">
        <v>31</v>
      </c>
      <c r="C135" s="11" t="n">
        <v>2</v>
      </c>
      <c r="D135" s="11" t="n">
        <v>4</v>
      </c>
      <c r="E135" s="25" t="n">
        <v>87.1</v>
      </c>
      <c r="F135" s="25" t="n">
        <v>135.7</v>
      </c>
      <c r="G135" s="11" t="s">
        <v>77</v>
      </c>
      <c r="H135" s="24" t="str">
        <f aca="false">IF(B135="Squat",IF(AND(E135&lt;=Summary!$B$7,OR(F135="",F135&lt;=Summary!$B$8)),"Correct","Incorrect"),IF(AND(E135&lt;=Summary!$B$9,OR(F135="",F135&gt;=Summary!$B$10)),"Correct","Incorrect"))</f>
        <v>Incorrect</v>
      </c>
      <c r="I135" s="26" t="s">
        <v>77</v>
      </c>
      <c r="J135" s="11" t="s">
        <v>78</v>
      </c>
      <c r="K135" s="24" t="str">
        <f aca="false">IF(J135="Yes",IF(I135="Correct","Incorrect","Correct"),I135)</f>
        <v>Incorrect</v>
      </c>
      <c r="L135" s="24" t="str">
        <f aca="false">IF(I135="Incorrect",IF(H135="Incorrect","TP","FN"),IF(H135="Incorrect","FP","TN"))</f>
        <v>TP</v>
      </c>
      <c r="M135" s="24" t="n">
        <f aca="false">IF(H135=I135,1,0)</f>
        <v>1</v>
      </c>
      <c r="N135" s="24" t="n">
        <f aca="false">IF(G135=I135,1,0)</f>
        <v>1</v>
      </c>
      <c r="O135" s="24" t="n">
        <f aca="false">IF(H135=K135,1,0)</f>
        <v>1</v>
      </c>
      <c r="P135" s="24"/>
      <c r="Q135" s="24" t="s">
        <v>84</v>
      </c>
    </row>
    <row r="136" customFormat="false" ht="15" hidden="false" customHeight="false" outlineLevel="0" collapsed="false">
      <c r="A136" s="11" t="s">
        <v>61</v>
      </c>
      <c r="B136" s="11" t="s">
        <v>31</v>
      </c>
      <c r="C136" s="11" t="n">
        <v>2</v>
      </c>
      <c r="D136" s="11" t="n">
        <v>5</v>
      </c>
      <c r="E136" s="25" t="n">
        <v>97.7</v>
      </c>
      <c r="F136" s="25" t="n">
        <v>139.8</v>
      </c>
      <c r="G136" s="11" t="s">
        <v>77</v>
      </c>
      <c r="H136" s="24" t="str">
        <f aca="false">IF(B136="Squat",IF(AND(E136&lt;=Summary!$B$7,OR(F136="",F136&lt;=Summary!$B$8)),"Correct","Incorrect"),IF(AND(E136&lt;=Summary!$B$9,OR(F136="",F136&gt;=Summary!$B$10)),"Correct","Incorrect"))</f>
        <v>Incorrect</v>
      </c>
      <c r="I136" s="26" t="s">
        <v>77</v>
      </c>
      <c r="J136" s="11" t="s">
        <v>78</v>
      </c>
      <c r="K136" s="24" t="str">
        <f aca="false">IF(J136="Yes",IF(I136="Correct","Incorrect","Correct"),I136)</f>
        <v>Incorrect</v>
      </c>
      <c r="L136" s="24" t="str">
        <f aca="false">IF(I136="Incorrect",IF(H136="Incorrect","TP","FN"),IF(H136="Incorrect","FP","TN"))</f>
        <v>TP</v>
      </c>
      <c r="M136" s="24" t="n">
        <f aca="false">IF(H136=I136,1,0)</f>
        <v>1</v>
      </c>
      <c r="N136" s="24" t="n">
        <f aca="false">IF(G136=I136,1,0)</f>
        <v>1</v>
      </c>
      <c r="O136" s="24" t="n">
        <f aca="false">IF(H136=K136,1,0)</f>
        <v>1</v>
      </c>
      <c r="P136" s="24"/>
      <c r="Q136" s="24" t="s">
        <v>84</v>
      </c>
    </row>
    <row r="137" customFormat="false" ht="15" hidden="false" customHeight="false" outlineLevel="0" collapsed="false">
      <c r="A137" s="11" t="s">
        <v>61</v>
      </c>
      <c r="B137" s="11" t="s">
        <v>31</v>
      </c>
      <c r="C137" s="11" t="n">
        <v>2</v>
      </c>
      <c r="D137" s="11" t="n">
        <v>6</v>
      </c>
      <c r="E137" s="25" t="n">
        <v>95.9</v>
      </c>
      <c r="F137" s="25" t="n">
        <v>141.3</v>
      </c>
      <c r="G137" s="11" t="s">
        <v>77</v>
      </c>
      <c r="H137" s="24" t="str">
        <f aca="false">IF(B137="Squat",IF(AND(E137&lt;=Summary!$B$7,OR(F137="",F137&lt;=Summary!$B$8)),"Correct","Incorrect"),IF(AND(E137&lt;=Summary!$B$9,OR(F137="",F137&gt;=Summary!$B$10)),"Correct","Incorrect"))</f>
        <v>Incorrect</v>
      </c>
      <c r="I137" s="26" t="s">
        <v>77</v>
      </c>
      <c r="J137" s="11" t="s">
        <v>78</v>
      </c>
      <c r="K137" s="24" t="str">
        <f aca="false">IF(J137="Yes",IF(I137="Correct","Incorrect","Correct"),I137)</f>
        <v>Incorrect</v>
      </c>
      <c r="L137" s="24" t="str">
        <f aca="false">IF(I137="Incorrect",IF(H137="Incorrect","TP","FN"),IF(H137="Incorrect","FP","TN"))</f>
        <v>TP</v>
      </c>
      <c r="M137" s="24" t="n">
        <f aca="false">IF(H137=I137,1,0)</f>
        <v>1</v>
      </c>
      <c r="N137" s="24" t="n">
        <f aca="false">IF(G137=I137,1,0)</f>
        <v>1</v>
      </c>
      <c r="O137" s="24" t="n">
        <f aca="false">IF(H137=K137,1,0)</f>
        <v>1</v>
      </c>
      <c r="P137" s="24"/>
      <c r="Q137" s="24" t="s">
        <v>84</v>
      </c>
    </row>
    <row r="138" customFormat="false" ht="15" hidden="false" customHeight="false" outlineLevel="0" collapsed="false">
      <c r="A138" s="11" t="s">
        <v>61</v>
      </c>
      <c r="B138" s="11" t="s">
        <v>31</v>
      </c>
      <c r="C138" s="11" t="n">
        <v>2</v>
      </c>
      <c r="D138" s="11" t="n">
        <v>7</v>
      </c>
      <c r="E138" s="25" t="n">
        <v>91.6</v>
      </c>
      <c r="F138" s="25" t="n">
        <v>141</v>
      </c>
      <c r="G138" s="11" t="s">
        <v>77</v>
      </c>
      <c r="H138" s="24" t="str">
        <f aca="false">IF(B138="Squat",IF(AND(E138&lt;=Summary!$B$7,OR(F138="",F138&lt;=Summary!$B$8)),"Correct","Incorrect"),IF(AND(E138&lt;=Summary!$B$9,OR(F138="",F138&gt;=Summary!$B$10)),"Correct","Incorrect"))</f>
        <v>Incorrect</v>
      </c>
      <c r="I138" s="26" t="s">
        <v>77</v>
      </c>
      <c r="J138" s="11" t="s">
        <v>78</v>
      </c>
      <c r="K138" s="24" t="str">
        <f aca="false">IF(J138="Yes",IF(I138="Correct","Incorrect","Correct"),I138)</f>
        <v>Incorrect</v>
      </c>
      <c r="L138" s="24" t="str">
        <f aca="false">IF(I138="Incorrect",IF(H138="Incorrect","TP","FN"),IF(H138="Incorrect","FP","TN"))</f>
        <v>TP</v>
      </c>
      <c r="M138" s="24" t="n">
        <f aca="false">IF(H138=I138,1,0)</f>
        <v>1</v>
      </c>
      <c r="N138" s="24" t="n">
        <f aca="false">IF(G138=I138,1,0)</f>
        <v>1</v>
      </c>
      <c r="O138" s="24" t="n">
        <f aca="false">IF(H138=K138,1,0)</f>
        <v>1</v>
      </c>
      <c r="P138" s="24"/>
      <c r="Q138" s="24" t="s">
        <v>84</v>
      </c>
    </row>
    <row r="139" customFormat="false" ht="15" hidden="false" customHeight="false" outlineLevel="0" collapsed="false">
      <c r="A139" s="11" t="s">
        <v>61</v>
      </c>
      <c r="B139" s="11" t="s">
        <v>31</v>
      </c>
      <c r="C139" s="11" t="n">
        <v>2</v>
      </c>
      <c r="D139" s="11" t="n">
        <v>8</v>
      </c>
      <c r="E139" s="25" t="n">
        <v>110.8</v>
      </c>
      <c r="F139" s="25" t="n">
        <v>143.2</v>
      </c>
      <c r="G139" s="11" t="s">
        <v>77</v>
      </c>
      <c r="H139" s="24" t="str">
        <f aca="false">IF(B139="Squat",IF(AND(E139&lt;=Summary!$B$7,OR(F139="",F139&lt;=Summary!$B$8)),"Correct","Incorrect"),IF(AND(E139&lt;=Summary!$B$9,OR(F139="",F139&gt;=Summary!$B$10)),"Correct","Incorrect"))</f>
        <v>Incorrect</v>
      </c>
      <c r="I139" s="26" t="s">
        <v>77</v>
      </c>
      <c r="J139" s="11" t="s">
        <v>78</v>
      </c>
      <c r="K139" s="24" t="str">
        <f aca="false">IF(J139="Yes",IF(I139="Correct","Incorrect","Correct"),I139)</f>
        <v>Incorrect</v>
      </c>
      <c r="L139" s="24" t="str">
        <f aca="false">IF(I139="Incorrect",IF(H139="Incorrect","TP","FN"),IF(H139="Incorrect","FP","TN"))</f>
        <v>TP</v>
      </c>
      <c r="M139" s="24" t="n">
        <f aca="false">IF(H139=I139,1,0)</f>
        <v>1</v>
      </c>
      <c r="N139" s="24" t="n">
        <f aca="false">IF(G139=I139,1,0)</f>
        <v>1</v>
      </c>
      <c r="O139" s="24" t="n">
        <f aca="false">IF(H139=K139,1,0)</f>
        <v>1</v>
      </c>
      <c r="P139" s="24"/>
      <c r="Q139" s="24" t="s">
        <v>84</v>
      </c>
    </row>
    <row r="140" customFormat="false" ht="15" hidden="false" customHeight="false" outlineLevel="0" collapsed="false">
      <c r="A140" s="11" t="s">
        <v>61</v>
      </c>
      <c r="B140" s="11" t="s">
        <v>31</v>
      </c>
      <c r="C140" s="11" t="n">
        <v>2</v>
      </c>
      <c r="D140" s="11" t="n">
        <v>9</v>
      </c>
      <c r="E140" s="25" t="n">
        <v>103.9</v>
      </c>
      <c r="F140" s="25" t="n">
        <v>141.5</v>
      </c>
      <c r="G140" s="11" t="s">
        <v>77</v>
      </c>
      <c r="H140" s="24" t="str">
        <f aca="false">IF(B140="Squat",IF(AND(E140&lt;=Summary!$B$7,OR(F140="",F140&lt;=Summary!$B$8)),"Correct","Incorrect"),IF(AND(E140&lt;=Summary!$B$9,OR(F140="",F140&gt;=Summary!$B$10)),"Correct","Incorrect"))</f>
        <v>Incorrect</v>
      </c>
      <c r="I140" s="26" t="s">
        <v>77</v>
      </c>
      <c r="J140" s="11" t="s">
        <v>78</v>
      </c>
      <c r="K140" s="24" t="str">
        <f aca="false">IF(J140="Yes",IF(I140="Correct","Incorrect","Correct"),I140)</f>
        <v>Incorrect</v>
      </c>
      <c r="L140" s="24" t="str">
        <f aca="false">IF(I140="Incorrect",IF(H140="Incorrect","TP","FN"),IF(H140="Incorrect","FP","TN"))</f>
        <v>TP</v>
      </c>
      <c r="M140" s="24" t="n">
        <f aca="false">IF(H140=I140,1,0)</f>
        <v>1</v>
      </c>
      <c r="N140" s="24" t="n">
        <f aca="false">IF(G140=I140,1,0)</f>
        <v>1</v>
      </c>
      <c r="O140" s="24" t="n">
        <f aca="false">IF(H140=K140,1,0)</f>
        <v>1</v>
      </c>
      <c r="P140" s="24"/>
      <c r="Q140" s="24" t="s">
        <v>84</v>
      </c>
    </row>
    <row r="141" customFormat="false" ht="15" hidden="false" customHeight="false" outlineLevel="0" collapsed="false">
      <c r="A141" s="11" t="s">
        <v>61</v>
      </c>
      <c r="B141" s="11" t="s">
        <v>31</v>
      </c>
      <c r="C141" s="11" t="n">
        <v>2</v>
      </c>
      <c r="D141" s="11" t="n">
        <v>10</v>
      </c>
      <c r="E141" s="25" t="n">
        <v>93.6</v>
      </c>
      <c r="F141" s="25" t="n">
        <v>142.5</v>
      </c>
      <c r="G141" s="11" t="s">
        <v>77</v>
      </c>
      <c r="H141" s="24" t="str">
        <f aca="false">IF(B141="Squat",IF(AND(E141&lt;=Summary!$B$7,OR(F141="",F141&lt;=Summary!$B$8)),"Correct","Incorrect"),IF(AND(E141&lt;=Summary!$B$9,OR(F141="",F141&gt;=Summary!$B$10)),"Correct","Incorrect"))</f>
        <v>Incorrect</v>
      </c>
      <c r="I141" s="26" t="s">
        <v>77</v>
      </c>
      <c r="J141" s="11" t="s">
        <v>78</v>
      </c>
      <c r="K141" s="24" t="str">
        <f aca="false">IF(J141="Yes",IF(I141="Correct","Incorrect","Correct"),I141)</f>
        <v>Incorrect</v>
      </c>
      <c r="L141" s="24" t="str">
        <f aca="false">IF(I141="Incorrect",IF(H141="Incorrect","TP","FN"),IF(H141="Incorrect","FP","TN"))</f>
        <v>TP</v>
      </c>
      <c r="M141" s="24" t="n">
        <f aca="false">IF(H141=I141,1,0)</f>
        <v>1</v>
      </c>
      <c r="N141" s="24" t="n">
        <f aca="false">IF(G141=I141,1,0)</f>
        <v>1</v>
      </c>
      <c r="O141" s="24" t="n">
        <f aca="false">IF(H141=K141,1,0)</f>
        <v>1</v>
      </c>
      <c r="P141" s="24"/>
      <c r="Q141" s="24" t="s">
        <v>84</v>
      </c>
    </row>
    <row r="142" customFormat="false" ht="15" hidden="false" customHeight="false" outlineLevel="0" collapsed="false">
      <c r="A142" s="11" t="s">
        <v>61</v>
      </c>
      <c r="B142" s="11" t="s">
        <v>31</v>
      </c>
      <c r="C142" s="11" t="n">
        <v>3</v>
      </c>
      <c r="D142" s="11" t="n">
        <v>1</v>
      </c>
      <c r="E142" s="25" t="n">
        <v>78.9</v>
      </c>
      <c r="F142" s="25" t="n">
        <v>175.8</v>
      </c>
      <c r="G142" s="11" t="s">
        <v>80</v>
      </c>
      <c r="H142" s="24" t="str">
        <f aca="false">IF(B142="Squat",IF(AND(E142&lt;=Summary!$B$7,OR(F142="",F142&lt;=Summary!$B$8)),"Correct","Incorrect"),IF(AND(E142&lt;=Summary!$B$9,OR(F142="",F142&gt;=Summary!$B$10)),"Correct","Incorrect"))</f>
        <v>Correct</v>
      </c>
      <c r="I142" s="26" t="s">
        <v>80</v>
      </c>
      <c r="J142" s="11" t="s">
        <v>78</v>
      </c>
      <c r="K142" s="24" t="str">
        <f aca="false">IF(J142="Yes",IF(I142="Correct","Incorrect","Correct"),I142)</f>
        <v>Correct</v>
      </c>
      <c r="L142" s="24" t="str">
        <f aca="false">IF(I142="Incorrect",IF(H142="Incorrect","TP","FN"),IF(H142="Incorrect","FP","TN"))</f>
        <v>TN</v>
      </c>
      <c r="M142" s="24" t="n">
        <f aca="false">IF(H142=I142,1,0)</f>
        <v>1</v>
      </c>
      <c r="N142" s="24" t="n">
        <f aca="false">IF(G142=I142,1,0)</f>
        <v>1</v>
      </c>
      <c r="O142" s="24" t="n">
        <f aca="false">IF(H142=K142,1,0)</f>
        <v>1</v>
      </c>
      <c r="P142" s="24"/>
      <c r="Q142" s="24" t="s">
        <v>84</v>
      </c>
    </row>
    <row r="143" customFormat="false" ht="15" hidden="false" customHeight="false" outlineLevel="0" collapsed="false">
      <c r="A143" s="11" t="s">
        <v>61</v>
      </c>
      <c r="B143" s="11" t="s">
        <v>31</v>
      </c>
      <c r="C143" s="11" t="n">
        <v>3</v>
      </c>
      <c r="D143" s="11" t="n">
        <v>2</v>
      </c>
      <c r="E143" s="25" t="n">
        <v>80</v>
      </c>
      <c r="F143" s="25" t="n">
        <v>173.6</v>
      </c>
      <c r="G143" s="11" t="s">
        <v>80</v>
      </c>
      <c r="H143" s="24" t="str">
        <f aca="false">IF(B143="Squat",IF(AND(E143&lt;=Summary!$B$7,OR(F143="",F143&lt;=Summary!$B$8)),"Correct","Incorrect"),IF(AND(E143&lt;=Summary!$B$9,OR(F143="",F143&gt;=Summary!$B$10)),"Correct","Incorrect"))</f>
        <v>Correct</v>
      </c>
      <c r="I143" s="26" t="s">
        <v>80</v>
      </c>
      <c r="J143" s="11" t="s">
        <v>78</v>
      </c>
      <c r="K143" s="24" t="str">
        <f aca="false">IF(J143="Yes",IF(I143="Correct","Incorrect","Correct"),I143)</f>
        <v>Correct</v>
      </c>
      <c r="L143" s="24" t="str">
        <f aca="false">IF(I143="Incorrect",IF(H143="Incorrect","TP","FN"),IF(H143="Incorrect","FP","TN"))</f>
        <v>TN</v>
      </c>
      <c r="M143" s="24" t="n">
        <f aca="false">IF(H143=I143,1,0)</f>
        <v>1</v>
      </c>
      <c r="N143" s="24" t="n">
        <f aca="false">IF(G143=I143,1,0)</f>
        <v>1</v>
      </c>
      <c r="O143" s="24" t="n">
        <f aca="false">IF(H143=K143,1,0)</f>
        <v>1</v>
      </c>
      <c r="P143" s="24"/>
      <c r="Q143" s="24" t="s">
        <v>84</v>
      </c>
    </row>
    <row r="144" customFormat="false" ht="15" hidden="false" customHeight="false" outlineLevel="0" collapsed="false">
      <c r="A144" s="11" t="s">
        <v>61</v>
      </c>
      <c r="B144" s="11" t="s">
        <v>31</v>
      </c>
      <c r="C144" s="11" t="n">
        <v>3</v>
      </c>
      <c r="D144" s="11" t="n">
        <v>3</v>
      </c>
      <c r="E144" s="25" t="n">
        <v>65.8</v>
      </c>
      <c r="F144" s="25" t="n">
        <v>170.9</v>
      </c>
      <c r="G144" s="11" t="s">
        <v>80</v>
      </c>
      <c r="H144" s="24" t="str">
        <f aca="false">IF(B144="Squat",IF(AND(E144&lt;=Summary!$B$7,OR(F144="",F144&lt;=Summary!$B$8)),"Correct","Incorrect"),IF(AND(E144&lt;=Summary!$B$9,OR(F144="",F144&gt;=Summary!$B$10)),"Correct","Incorrect"))</f>
        <v>Correct</v>
      </c>
      <c r="I144" s="26" t="s">
        <v>80</v>
      </c>
      <c r="J144" s="11" t="s">
        <v>78</v>
      </c>
      <c r="K144" s="24" t="str">
        <f aca="false">IF(J144="Yes",IF(I144="Correct","Incorrect","Correct"),I144)</f>
        <v>Correct</v>
      </c>
      <c r="L144" s="24" t="str">
        <f aca="false">IF(I144="Incorrect",IF(H144="Incorrect","TP","FN"),IF(H144="Incorrect","FP","TN"))</f>
        <v>TN</v>
      </c>
      <c r="M144" s="24" t="n">
        <f aca="false">IF(H144=I144,1,0)</f>
        <v>1</v>
      </c>
      <c r="N144" s="24" t="n">
        <f aca="false">IF(G144=I144,1,0)</f>
        <v>1</v>
      </c>
      <c r="O144" s="24" t="n">
        <f aca="false">IF(H144=K144,1,0)</f>
        <v>1</v>
      </c>
      <c r="P144" s="24"/>
      <c r="Q144" s="24" t="s">
        <v>84</v>
      </c>
    </row>
    <row r="145" customFormat="false" ht="15" hidden="false" customHeight="false" outlineLevel="0" collapsed="false">
      <c r="A145" s="11" t="s">
        <v>61</v>
      </c>
      <c r="B145" s="11" t="s">
        <v>31</v>
      </c>
      <c r="C145" s="11" t="n">
        <v>3</v>
      </c>
      <c r="D145" s="11" t="n">
        <v>4</v>
      </c>
      <c r="E145" s="25" t="n">
        <v>75.5</v>
      </c>
      <c r="F145" s="25" t="n">
        <v>167.7</v>
      </c>
      <c r="G145" s="11" t="s">
        <v>80</v>
      </c>
      <c r="H145" s="24" t="str">
        <f aca="false">IF(B145="Squat",IF(AND(E145&lt;=Summary!$B$7,OR(F145="",F145&lt;=Summary!$B$8)),"Correct","Incorrect"),IF(AND(E145&lt;=Summary!$B$9,OR(F145="",F145&gt;=Summary!$B$10)),"Correct","Incorrect"))</f>
        <v>Correct</v>
      </c>
      <c r="I145" s="26" t="s">
        <v>80</v>
      </c>
      <c r="J145" s="11" t="s">
        <v>78</v>
      </c>
      <c r="K145" s="24" t="str">
        <f aca="false">IF(J145="Yes",IF(I145="Correct","Incorrect","Correct"),I145)</f>
        <v>Correct</v>
      </c>
      <c r="L145" s="24" t="str">
        <f aca="false">IF(I145="Incorrect",IF(H145="Incorrect","TP","FN"),IF(H145="Incorrect","FP","TN"))</f>
        <v>TN</v>
      </c>
      <c r="M145" s="24" t="n">
        <f aca="false">IF(H145=I145,1,0)</f>
        <v>1</v>
      </c>
      <c r="N145" s="24" t="n">
        <f aca="false">IF(G145=I145,1,0)</f>
        <v>1</v>
      </c>
      <c r="O145" s="24" t="n">
        <f aca="false">IF(H145=K145,1,0)</f>
        <v>1</v>
      </c>
      <c r="P145" s="24"/>
      <c r="Q145" s="24" t="s">
        <v>84</v>
      </c>
    </row>
    <row r="146" customFormat="false" ht="15" hidden="false" customHeight="false" outlineLevel="0" collapsed="false">
      <c r="A146" s="11" t="s">
        <v>61</v>
      </c>
      <c r="B146" s="11" t="s">
        <v>31</v>
      </c>
      <c r="C146" s="11" t="n">
        <v>3</v>
      </c>
      <c r="D146" s="11" t="n">
        <v>5</v>
      </c>
      <c r="E146" s="25" t="n">
        <v>77.5</v>
      </c>
      <c r="F146" s="25" t="n">
        <v>168.5</v>
      </c>
      <c r="G146" s="11" t="s">
        <v>80</v>
      </c>
      <c r="H146" s="24" t="str">
        <f aca="false">IF(B146="Squat",IF(AND(E146&lt;=Summary!$B$7,OR(F146="",F146&lt;=Summary!$B$8)),"Correct","Incorrect"),IF(AND(E146&lt;=Summary!$B$9,OR(F146="",F146&gt;=Summary!$B$10)),"Correct","Incorrect"))</f>
        <v>Correct</v>
      </c>
      <c r="I146" s="26" t="s">
        <v>80</v>
      </c>
      <c r="J146" s="11" t="s">
        <v>78</v>
      </c>
      <c r="K146" s="24" t="str">
        <f aca="false">IF(J146="Yes",IF(I146="Correct","Incorrect","Correct"),I146)</f>
        <v>Correct</v>
      </c>
      <c r="L146" s="24" t="str">
        <f aca="false">IF(I146="Incorrect",IF(H146="Incorrect","TP","FN"),IF(H146="Incorrect","FP","TN"))</f>
        <v>TN</v>
      </c>
      <c r="M146" s="24" t="n">
        <f aca="false">IF(H146=I146,1,0)</f>
        <v>1</v>
      </c>
      <c r="N146" s="24" t="n">
        <f aca="false">IF(G146=I146,1,0)</f>
        <v>1</v>
      </c>
      <c r="O146" s="24" t="n">
        <f aca="false">IF(H146=K146,1,0)</f>
        <v>1</v>
      </c>
      <c r="P146" s="24"/>
      <c r="Q146" s="24" t="s">
        <v>84</v>
      </c>
    </row>
    <row r="147" customFormat="false" ht="15" hidden="false" customHeight="false" outlineLevel="0" collapsed="false">
      <c r="A147" s="11" t="s">
        <v>61</v>
      </c>
      <c r="B147" s="11" t="s">
        <v>31</v>
      </c>
      <c r="C147" s="11" t="n">
        <v>3</v>
      </c>
      <c r="D147" s="11" t="n">
        <v>6</v>
      </c>
      <c r="E147" s="25" t="n">
        <v>76.6</v>
      </c>
      <c r="F147" s="25" t="n">
        <v>170.7</v>
      </c>
      <c r="G147" s="11" t="s">
        <v>80</v>
      </c>
      <c r="H147" s="24" t="str">
        <f aca="false">IF(B147="Squat",IF(AND(E147&lt;=Summary!$B$7,OR(F147="",F147&lt;=Summary!$B$8)),"Correct","Incorrect"),IF(AND(E147&lt;=Summary!$B$9,OR(F147="",F147&gt;=Summary!$B$10)),"Correct","Incorrect"))</f>
        <v>Correct</v>
      </c>
      <c r="I147" s="26" t="s">
        <v>80</v>
      </c>
      <c r="J147" s="11" t="s">
        <v>78</v>
      </c>
      <c r="K147" s="24" t="str">
        <f aca="false">IF(J147="Yes",IF(I147="Correct","Incorrect","Correct"),I147)</f>
        <v>Correct</v>
      </c>
      <c r="L147" s="24" t="str">
        <f aca="false">IF(I147="Incorrect",IF(H147="Incorrect","TP","FN"),IF(H147="Incorrect","FP","TN"))</f>
        <v>TN</v>
      </c>
      <c r="M147" s="24" t="n">
        <f aca="false">IF(H147=I147,1,0)</f>
        <v>1</v>
      </c>
      <c r="N147" s="24" t="n">
        <f aca="false">IF(G147=I147,1,0)</f>
        <v>1</v>
      </c>
      <c r="O147" s="24" t="n">
        <f aca="false">IF(H147=K147,1,0)</f>
        <v>1</v>
      </c>
      <c r="P147" s="24"/>
      <c r="Q147" s="24" t="s">
        <v>84</v>
      </c>
    </row>
    <row r="148" customFormat="false" ht="15" hidden="false" customHeight="false" outlineLevel="0" collapsed="false">
      <c r="A148" s="11" t="s">
        <v>61</v>
      </c>
      <c r="B148" s="11" t="s">
        <v>31</v>
      </c>
      <c r="C148" s="11" t="n">
        <v>3</v>
      </c>
      <c r="D148" s="11" t="n">
        <v>7</v>
      </c>
      <c r="E148" s="25" t="n">
        <v>77.5</v>
      </c>
      <c r="F148" s="25" t="n">
        <v>170.1</v>
      </c>
      <c r="G148" s="11" t="s">
        <v>80</v>
      </c>
      <c r="H148" s="24" t="str">
        <f aca="false">IF(B148="Squat",IF(AND(E148&lt;=Summary!$B$7,OR(F148="",F148&lt;=Summary!$B$8)),"Correct","Incorrect"),IF(AND(E148&lt;=Summary!$B$9,OR(F148="",F148&gt;=Summary!$B$10)),"Correct","Incorrect"))</f>
        <v>Correct</v>
      </c>
      <c r="I148" s="26" t="s">
        <v>80</v>
      </c>
      <c r="J148" s="11" t="s">
        <v>78</v>
      </c>
      <c r="K148" s="24" t="str">
        <f aca="false">IF(J148="Yes",IF(I148="Correct","Incorrect","Correct"),I148)</f>
        <v>Correct</v>
      </c>
      <c r="L148" s="24" t="str">
        <f aca="false">IF(I148="Incorrect",IF(H148="Incorrect","TP","FN"),IF(H148="Incorrect","FP","TN"))</f>
        <v>TN</v>
      </c>
      <c r="M148" s="24" t="n">
        <f aca="false">IF(H148=I148,1,0)</f>
        <v>1</v>
      </c>
      <c r="N148" s="24" t="n">
        <f aca="false">IF(G148=I148,1,0)</f>
        <v>1</v>
      </c>
      <c r="O148" s="24" t="n">
        <f aca="false">IF(H148=K148,1,0)</f>
        <v>1</v>
      </c>
      <c r="P148" s="24"/>
      <c r="Q148" s="24" t="s">
        <v>84</v>
      </c>
    </row>
    <row r="149" customFormat="false" ht="15" hidden="false" customHeight="false" outlineLevel="0" collapsed="false">
      <c r="A149" s="11" t="s">
        <v>61</v>
      </c>
      <c r="B149" s="11" t="s">
        <v>31</v>
      </c>
      <c r="C149" s="11" t="n">
        <v>3</v>
      </c>
      <c r="D149" s="11" t="n">
        <v>8</v>
      </c>
      <c r="E149" s="25" t="n">
        <v>78.6</v>
      </c>
      <c r="F149" s="25" t="n">
        <v>168.8</v>
      </c>
      <c r="G149" s="11" t="s">
        <v>80</v>
      </c>
      <c r="H149" s="24" t="str">
        <f aca="false">IF(B149="Squat",IF(AND(E149&lt;=Summary!$B$7,OR(F149="",F149&lt;=Summary!$B$8)),"Correct","Incorrect"),IF(AND(E149&lt;=Summary!$B$9,OR(F149="",F149&gt;=Summary!$B$10)),"Correct","Incorrect"))</f>
        <v>Correct</v>
      </c>
      <c r="I149" s="26" t="s">
        <v>80</v>
      </c>
      <c r="J149" s="11" t="s">
        <v>78</v>
      </c>
      <c r="K149" s="24" t="str">
        <f aca="false">IF(J149="Yes",IF(I149="Correct","Incorrect","Correct"),I149)</f>
        <v>Correct</v>
      </c>
      <c r="L149" s="24" t="str">
        <f aca="false">IF(I149="Incorrect",IF(H149="Incorrect","TP","FN"),IF(H149="Incorrect","FP","TN"))</f>
        <v>TN</v>
      </c>
      <c r="M149" s="24" t="n">
        <f aca="false">IF(H149=I149,1,0)</f>
        <v>1</v>
      </c>
      <c r="N149" s="24" t="n">
        <f aca="false">IF(G149=I149,1,0)</f>
        <v>1</v>
      </c>
      <c r="O149" s="24" t="n">
        <f aca="false">IF(H149=K149,1,0)</f>
        <v>1</v>
      </c>
      <c r="P149" s="24"/>
      <c r="Q149" s="24" t="s">
        <v>84</v>
      </c>
    </row>
    <row r="150" customFormat="false" ht="15" hidden="false" customHeight="false" outlineLevel="0" collapsed="false">
      <c r="A150" s="11" t="s">
        <v>61</v>
      </c>
      <c r="B150" s="11" t="s">
        <v>31</v>
      </c>
      <c r="C150" s="11" t="n">
        <v>3</v>
      </c>
      <c r="D150" s="11" t="n">
        <v>9</v>
      </c>
      <c r="E150" s="25" t="n">
        <v>90.5</v>
      </c>
      <c r="F150" s="25" t="n">
        <v>169.5</v>
      </c>
      <c r="G150" s="11" t="s">
        <v>80</v>
      </c>
      <c r="H150" s="24" t="str">
        <f aca="false">IF(B150="Squat",IF(AND(E150&lt;=Summary!$B$7,OR(F150="",F150&lt;=Summary!$B$8)),"Correct","Incorrect"),IF(AND(E150&lt;=Summary!$B$9,OR(F150="",F150&gt;=Summary!$B$10)),"Correct","Incorrect"))</f>
        <v>Correct</v>
      </c>
      <c r="I150" s="26" t="s">
        <v>80</v>
      </c>
      <c r="J150" s="11" t="s">
        <v>78</v>
      </c>
      <c r="K150" s="24" t="str">
        <f aca="false">IF(J150="Yes",IF(I150="Correct","Incorrect","Correct"),I150)</f>
        <v>Correct</v>
      </c>
      <c r="L150" s="24" t="str">
        <f aca="false">IF(I150="Incorrect",IF(H150="Incorrect","TP","FN"),IF(H150="Incorrect","FP","TN"))</f>
        <v>TN</v>
      </c>
      <c r="M150" s="24" t="n">
        <f aca="false">IF(H150=I150,1,0)</f>
        <v>1</v>
      </c>
      <c r="N150" s="24" t="n">
        <f aca="false">IF(G150=I150,1,0)</f>
        <v>1</v>
      </c>
      <c r="O150" s="24" t="n">
        <f aca="false">IF(H150=K150,1,0)</f>
        <v>1</v>
      </c>
      <c r="P150" s="24"/>
      <c r="Q150" s="24" t="s">
        <v>84</v>
      </c>
    </row>
    <row r="151" customFormat="false" ht="15" hidden="false" customHeight="false" outlineLevel="0" collapsed="false">
      <c r="A151" s="11" t="s">
        <v>61</v>
      </c>
      <c r="B151" s="11" t="s">
        <v>31</v>
      </c>
      <c r="C151" s="11" t="n">
        <v>3</v>
      </c>
      <c r="D151" s="11" t="n">
        <v>10</v>
      </c>
      <c r="E151" s="25" t="n">
        <v>79.5</v>
      </c>
      <c r="F151" s="25" t="n">
        <v>170</v>
      </c>
      <c r="G151" s="11" t="s">
        <v>80</v>
      </c>
      <c r="H151" s="24" t="str">
        <f aca="false">IF(B151="Squat",IF(AND(E151&lt;=Summary!$B$7,OR(F151="",F151&lt;=Summary!$B$8)),"Correct","Incorrect"),IF(AND(E151&lt;=Summary!$B$9,OR(F151="",F151&gt;=Summary!$B$10)),"Correct","Incorrect"))</f>
        <v>Correct</v>
      </c>
      <c r="I151" s="26" t="s">
        <v>80</v>
      </c>
      <c r="J151" s="11" t="s">
        <v>78</v>
      </c>
      <c r="K151" s="24" t="str">
        <f aca="false">IF(J151="Yes",IF(I151="Correct","Incorrect","Correct"),I151)</f>
        <v>Correct</v>
      </c>
      <c r="L151" s="24" t="str">
        <f aca="false">IF(I151="Incorrect",IF(H151="Incorrect","TP","FN"),IF(H151="Incorrect","FP","TN"))</f>
        <v>TN</v>
      </c>
      <c r="M151" s="24" t="n">
        <f aca="false">IF(H151=I151,1,0)</f>
        <v>1</v>
      </c>
      <c r="N151" s="24" t="n">
        <f aca="false">IF(G151=I151,1,0)</f>
        <v>1</v>
      </c>
      <c r="O151" s="24" t="n">
        <f aca="false">IF(H151=K151,1,0)</f>
        <v>1</v>
      </c>
      <c r="P151" s="24"/>
      <c r="Q151" s="24" t="s">
        <v>84</v>
      </c>
    </row>
    <row r="152" customFormat="false" ht="15" hidden="false" customHeight="false" outlineLevel="0" collapsed="false">
      <c r="A152" s="11" t="s">
        <v>57</v>
      </c>
      <c r="B152" s="11" t="s">
        <v>32</v>
      </c>
      <c r="C152" s="11" t="n">
        <v>1</v>
      </c>
      <c r="D152" s="11" t="n">
        <v>1</v>
      </c>
      <c r="E152" s="25" t="n">
        <v>76.2</v>
      </c>
      <c r="F152" s="25" t="n">
        <v>35</v>
      </c>
      <c r="G152" s="11" t="s">
        <v>80</v>
      </c>
      <c r="H152" s="24" t="str">
        <f aca="false">IF(B152="Squat",IF(AND(E152&lt;=Summary!$B$7,OR(F152="",F152&lt;=Summary!$B$8)),"Correct","Incorrect"),IF(AND(E152&lt;=Summary!$B$9,OR(F152="",F152&gt;=Summary!$B$10)),"Correct","Incorrect"))</f>
        <v>Correct</v>
      </c>
      <c r="I152" s="26" t="s">
        <v>80</v>
      </c>
      <c r="J152" s="11" t="s">
        <v>78</v>
      </c>
      <c r="K152" s="24" t="str">
        <f aca="false">IF(J152="Yes",IF(I152="Correct","Incorrect","Correct"),I152)</f>
        <v>Correct</v>
      </c>
      <c r="L152" s="24" t="str">
        <f aca="false">IF(I152="Incorrect",IF(H152="Incorrect","TP","FN"),IF(H152="Incorrect","FP","TN"))</f>
        <v>TN</v>
      </c>
      <c r="M152" s="24" t="n">
        <f aca="false">IF(H152=I152,1,0)</f>
        <v>1</v>
      </c>
      <c r="N152" s="24" t="n">
        <f aca="false">IF(G152=I152,1,0)</f>
        <v>1</v>
      </c>
      <c r="O152" s="24" t="n">
        <f aca="false">IF(H152=K152,1,0)</f>
        <v>1</v>
      </c>
      <c r="P152" s="24"/>
      <c r="Q152" s="24" t="s">
        <v>85</v>
      </c>
    </row>
    <row r="153" customFormat="false" ht="15" hidden="false" customHeight="false" outlineLevel="0" collapsed="false">
      <c r="A153" s="11" t="s">
        <v>57</v>
      </c>
      <c r="B153" s="11" t="s">
        <v>32</v>
      </c>
      <c r="C153" s="11" t="n">
        <v>1</v>
      </c>
      <c r="D153" s="11" t="n">
        <v>2</v>
      </c>
      <c r="E153" s="25" t="n">
        <v>70.8</v>
      </c>
      <c r="F153" s="25" t="n">
        <v>33.2</v>
      </c>
      <c r="G153" s="11" t="s">
        <v>80</v>
      </c>
      <c r="H153" s="24" t="str">
        <f aca="false">IF(B153="Squat",IF(AND(E153&lt;=Summary!$B$7,OR(F153="",F153&lt;=Summary!$B$8)),"Correct","Incorrect"),IF(AND(E153&lt;=Summary!$B$9,OR(F153="",F153&gt;=Summary!$B$10)),"Correct","Incorrect"))</f>
        <v>Correct</v>
      </c>
      <c r="I153" s="26" t="s">
        <v>80</v>
      </c>
      <c r="J153" s="11" t="s">
        <v>78</v>
      </c>
      <c r="K153" s="24" t="str">
        <f aca="false">IF(J153="Yes",IF(I153="Correct","Incorrect","Correct"),I153)</f>
        <v>Correct</v>
      </c>
      <c r="L153" s="24" t="str">
        <f aca="false">IF(I153="Incorrect",IF(H153="Incorrect","TP","FN"),IF(H153="Incorrect","FP","TN"))</f>
        <v>TN</v>
      </c>
      <c r="M153" s="24" t="n">
        <f aca="false">IF(H153=I153,1,0)</f>
        <v>1</v>
      </c>
      <c r="N153" s="24" t="n">
        <f aca="false">IF(G153=I153,1,0)</f>
        <v>1</v>
      </c>
      <c r="O153" s="24" t="n">
        <f aca="false">IF(H153=K153,1,0)</f>
        <v>1</v>
      </c>
      <c r="P153" s="24"/>
      <c r="Q153" s="24" t="s">
        <v>85</v>
      </c>
    </row>
    <row r="154" customFormat="false" ht="15" hidden="false" customHeight="false" outlineLevel="0" collapsed="false">
      <c r="A154" s="11" t="s">
        <v>57</v>
      </c>
      <c r="B154" s="11" t="s">
        <v>32</v>
      </c>
      <c r="C154" s="11" t="n">
        <v>1</v>
      </c>
      <c r="D154" s="11" t="n">
        <v>3</v>
      </c>
      <c r="E154" s="25" t="n">
        <v>73.5</v>
      </c>
      <c r="F154" s="25" t="n">
        <v>33</v>
      </c>
      <c r="G154" s="11" t="s">
        <v>80</v>
      </c>
      <c r="H154" s="24" t="str">
        <f aca="false">IF(B154="Squat",IF(AND(E154&lt;=Summary!$B$7,OR(F154="",F154&lt;=Summary!$B$8)),"Correct","Incorrect"),IF(AND(E154&lt;=Summary!$B$9,OR(F154="",F154&gt;=Summary!$B$10)),"Correct","Incorrect"))</f>
        <v>Correct</v>
      </c>
      <c r="I154" s="26" t="s">
        <v>80</v>
      </c>
      <c r="J154" s="11" t="s">
        <v>78</v>
      </c>
      <c r="K154" s="24" t="str">
        <f aca="false">IF(J154="Yes",IF(I154="Correct","Incorrect","Correct"),I154)</f>
        <v>Correct</v>
      </c>
      <c r="L154" s="24" t="str">
        <f aca="false">IF(I154="Incorrect",IF(H154="Incorrect","TP","FN"),IF(H154="Incorrect","FP","TN"))</f>
        <v>TN</v>
      </c>
      <c r="M154" s="24" t="n">
        <f aca="false">IF(H154=I154,1,0)</f>
        <v>1</v>
      </c>
      <c r="N154" s="24" t="n">
        <f aca="false">IF(G154=I154,1,0)</f>
        <v>1</v>
      </c>
      <c r="O154" s="24" t="n">
        <f aca="false">IF(H154=K154,1,0)</f>
        <v>1</v>
      </c>
      <c r="P154" s="24"/>
      <c r="Q154" s="24" t="s">
        <v>85</v>
      </c>
    </row>
    <row r="155" customFormat="false" ht="15" hidden="false" customHeight="false" outlineLevel="0" collapsed="false">
      <c r="A155" s="11" t="s">
        <v>57</v>
      </c>
      <c r="B155" s="11" t="s">
        <v>32</v>
      </c>
      <c r="C155" s="11" t="n">
        <v>1</v>
      </c>
      <c r="D155" s="11" t="n">
        <v>4</v>
      </c>
      <c r="E155" s="25" t="n">
        <v>69.9</v>
      </c>
      <c r="F155" s="25" t="n">
        <v>31.6</v>
      </c>
      <c r="G155" s="11" t="s">
        <v>80</v>
      </c>
      <c r="H155" s="24" t="str">
        <f aca="false">IF(B155="Squat",IF(AND(E155&lt;=Summary!$B$7,OR(F155="",F155&lt;=Summary!$B$8)),"Correct","Incorrect"),IF(AND(E155&lt;=Summary!$B$9,OR(F155="",F155&gt;=Summary!$B$10)),"Correct","Incorrect"))</f>
        <v>Correct</v>
      </c>
      <c r="I155" s="26" t="s">
        <v>80</v>
      </c>
      <c r="J155" s="11" t="s">
        <v>78</v>
      </c>
      <c r="K155" s="24" t="str">
        <f aca="false">IF(J155="Yes",IF(I155="Correct","Incorrect","Correct"),I155)</f>
        <v>Correct</v>
      </c>
      <c r="L155" s="24" t="str">
        <f aca="false">IF(I155="Incorrect",IF(H155="Incorrect","TP","FN"),IF(H155="Incorrect","FP","TN"))</f>
        <v>TN</v>
      </c>
      <c r="M155" s="24" t="n">
        <f aca="false">IF(H155=I155,1,0)</f>
        <v>1</v>
      </c>
      <c r="N155" s="24" t="n">
        <f aca="false">IF(G155=I155,1,0)</f>
        <v>1</v>
      </c>
      <c r="O155" s="24" t="n">
        <f aca="false">IF(H155=K155,1,0)</f>
        <v>1</v>
      </c>
      <c r="P155" s="24"/>
      <c r="Q155" s="24" t="s">
        <v>85</v>
      </c>
    </row>
    <row r="156" customFormat="false" ht="15" hidden="false" customHeight="false" outlineLevel="0" collapsed="false">
      <c r="A156" s="11" t="s">
        <v>57</v>
      </c>
      <c r="B156" s="11" t="s">
        <v>32</v>
      </c>
      <c r="C156" s="11" t="n">
        <v>1</v>
      </c>
      <c r="D156" s="11" t="n">
        <v>5</v>
      </c>
      <c r="E156" s="25" t="n">
        <v>68.4</v>
      </c>
      <c r="F156" s="25" t="n">
        <v>33.8</v>
      </c>
      <c r="G156" s="11" t="s">
        <v>80</v>
      </c>
      <c r="H156" s="24" t="str">
        <f aca="false">IF(B156="Squat",IF(AND(E156&lt;=Summary!$B$7,OR(F156="",F156&lt;=Summary!$B$8)),"Correct","Incorrect"),IF(AND(E156&lt;=Summary!$B$9,OR(F156="",F156&gt;=Summary!$B$10)),"Correct","Incorrect"))</f>
        <v>Correct</v>
      </c>
      <c r="I156" s="26" t="s">
        <v>80</v>
      </c>
      <c r="J156" s="11" t="s">
        <v>78</v>
      </c>
      <c r="K156" s="24" t="str">
        <f aca="false">IF(J156="Yes",IF(I156="Correct","Incorrect","Correct"),I156)</f>
        <v>Correct</v>
      </c>
      <c r="L156" s="24" t="str">
        <f aca="false">IF(I156="Incorrect",IF(H156="Incorrect","TP","FN"),IF(H156="Incorrect","FP","TN"))</f>
        <v>TN</v>
      </c>
      <c r="M156" s="24" t="n">
        <f aca="false">IF(H156=I156,1,0)</f>
        <v>1</v>
      </c>
      <c r="N156" s="24" t="n">
        <f aca="false">IF(G156=I156,1,0)</f>
        <v>1</v>
      </c>
      <c r="O156" s="24" t="n">
        <f aca="false">IF(H156=K156,1,0)</f>
        <v>1</v>
      </c>
      <c r="P156" s="24"/>
      <c r="Q156" s="24" t="s">
        <v>85</v>
      </c>
    </row>
    <row r="157" customFormat="false" ht="15" hidden="false" customHeight="false" outlineLevel="0" collapsed="false">
      <c r="A157" s="11" t="s">
        <v>57</v>
      </c>
      <c r="B157" s="11" t="s">
        <v>32</v>
      </c>
      <c r="C157" s="11" t="n">
        <v>1</v>
      </c>
      <c r="D157" s="11" t="n">
        <v>6</v>
      </c>
      <c r="E157" s="25" t="n">
        <v>70.1</v>
      </c>
      <c r="F157" s="25" t="n">
        <v>32.5</v>
      </c>
      <c r="G157" s="11" t="s">
        <v>80</v>
      </c>
      <c r="H157" s="24" t="str">
        <f aca="false">IF(B157="Squat",IF(AND(E157&lt;=Summary!$B$7,OR(F157="",F157&lt;=Summary!$B$8)),"Correct","Incorrect"),IF(AND(E157&lt;=Summary!$B$9,OR(F157="",F157&gt;=Summary!$B$10)),"Correct","Incorrect"))</f>
        <v>Correct</v>
      </c>
      <c r="I157" s="26" t="s">
        <v>80</v>
      </c>
      <c r="J157" s="11" t="s">
        <v>78</v>
      </c>
      <c r="K157" s="24" t="str">
        <f aca="false">IF(J157="Yes",IF(I157="Correct","Incorrect","Correct"),I157)</f>
        <v>Correct</v>
      </c>
      <c r="L157" s="24" t="str">
        <f aca="false">IF(I157="Incorrect",IF(H157="Incorrect","TP","FN"),IF(H157="Incorrect","FP","TN"))</f>
        <v>TN</v>
      </c>
      <c r="M157" s="24" t="n">
        <f aca="false">IF(H157=I157,1,0)</f>
        <v>1</v>
      </c>
      <c r="N157" s="24" t="n">
        <f aca="false">IF(G157=I157,1,0)</f>
        <v>1</v>
      </c>
      <c r="O157" s="24" t="n">
        <f aca="false">IF(H157=K157,1,0)</f>
        <v>1</v>
      </c>
      <c r="P157" s="24"/>
      <c r="Q157" s="24" t="s">
        <v>85</v>
      </c>
    </row>
    <row r="158" customFormat="false" ht="15" hidden="false" customHeight="false" outlineLevel="0" collapsed="false">
      <c r="A158" s="11" t="s">
        <v>57</v>
      </c>
      <c r="B158" s="11" t="s">
        <v>32</v>
      </c>
      <c r="C158" s="11" t="n">
        <v>1</v>
      </c>
      <c r="D158" s="11" t="n">
        <v>7</v>
      </c>
      <c r="E158" s="25" t="n">
        <v>65.7</v>
      </c>
      <c r="F158" s="25" t="n">
        <v>32</v>
      </c>
      <c r="G158" s="11" t="s">
        <v>80</v>
      </c>
      <c r="H158" s="24" t="str">
        <f aca="false">IF(B158="Squat",IF(AND(E158&lt;=Summary!$B$7,OR(F158="",F158&lt;=Summary!$B$8)),"Correct","Incorrect"),IF(AND(E158&lt;=Summary!$B$9,OR(F158="",F158&gt;=Summary!$B$10)),"Correct","Incorrect"))</f>
        <v>Correct</v>
      </c>
      <c r="I158" s="26" t="s">
        <v>80</v>
      </c>
      <c r="J158" s="11" t="s">
        <v>78</v>
      </c>
      <c r="K158" s="24" t="str">
        <f aca="false">IF(J158="Yes",IF(I158="Correct","Incorrect","Correct"),I158)</f>
        <v>Correct</v>
      </c>
      <c r="L158" s="24" t="str">
        <f aca="false">IF(I158="Incorrect",IF(H158="Incorrect","TP","FN"),IF(H158="Incorrect","FP","TN"))</f>
        <v>TN</v>
      </c>
      <c r="M158" s="24" t="n">
        <f aca="false">IF(H158=I158,1,0)</f>
        <v>1</v>
      </c>
      <c r="N158" s="24" t="n">
        <f aca="false">IF(G158=I158,1,0)</f>
        <v>1</v>
      </c>
      <c r="O158" s="24" t="n">
        <f aca="false">IF(H158=K158,1,0)</f>
        <v>1</v>
      </c>
      <c r="P158" s="24"/>
      <c r="Q158" s="24" t="s">
        <v>85</v>
      </c>
    </row>
    <row r="159" customFormat="false" ht="15" hidden="false" customHeight="false" outlineLevel="0" collapsed="false">
      <c r="A159" s="11" t="s">
        <v>57</v>
      </c>
      <c r="B159" s="11" t="s">
        <v>32</v>
      </c>
      <c r="C159" s="11" t="n">
        <v>1</v>
      </c>
      <c r="D159" s="11" t="n">
        <v>8</v>
      </c>
      <c r="E159" s="25" t="n">
        <v>67.4</v>
      </c>
      <c r="F159" s="25" t="n">
        <v>32.5</v>
      </c>
      <c r="G159" s="11" t="s">
        <v>80</v>
      </c>
      <c r="H159" s="24" t="str">
        <f aca="false">IF(B159="Squat",IF(AND(E159&lt;=Summary!$B$7,OR(F159="",F159&lt;=Summary!$B$8)),"Correct","Incorrect"),IF(AND(E159&lt;=Summary!$B$9,OR(F159="",F159&gt;=Summary!$B$10)),"Correct","Incorrect"))</f>
        <v>Correct</v>
      </c>
      <c r="I159" s="26" t="s">
        <v>80</v>
      </c>
      <c r="J159" s="11" t="s">
        <v>78</v>
      </c>
      <c r="K159" s="24" t="str">
        <f aca="false">IF(J159="Yes",IF(I159="Correct","Incorrect","Correct"),I159)</f>
        <v>Correct</v>
      </c>
      <c r="L159" s="24" t="str">
        <f aca="false">IF(I159="Incorrect",IF(H159="Incorrect","TP","FN"),IF(H159="Incorrect","FP","TN"))</f>
        <v>TN</v>
      </c>
      <c r="M159" s="24" t="n">
        <f aca="false">IF(H159=I159,1,0)</f>
        <v>1</v>
      </c>
      <c r="N159" s="24" t="n">
        <f aca="false">IF(G159=I159,1,0)</f>
        <v>1</v>
      </c>
      <c r="O159" s="24" t="n">
        <f aca="false">IF(H159=K159,1,0)</f>
        <v>1</v>
      </c>
      <c r="P159" s="24"/>
      <c r="Q159" s="24" t="s">
        <v>85</v>
      </c>
    </row>
    <row r="160" customFormat="false" ht="15" hidden="false" customHeight="false" outlineLevel="0" collapsed="false">
      <c r="A160" s="11" t="s">
        <v>57</v>
      </c>
      <c r="B160" s="11" t="s">
        <v>32</v>
      </c>
      <c r="C160" s="11" t="n">
        <v>1</v>
      </c>
      <c r="D160" s="11" t="n">
        <v>9</v>
      </c>
      <c r="E160" s="25" t="n">
        <v>70.4</v>
      </c>
      <c r="F160" s="25" t="n">
        <v>32.5</v>
      </c>
      <c r="G160" s="11" t="s">
        <v>80</v>
      </c>
      <c r="H160" s="24" t="str">
        <f aca="false">IF(B160="Squat",IF(AND(E160&lt;=Summary!$B$7,OR(F160="",F160&lt;=Summary!$B$8)),"Correct","Incorrect"),IF(AND(E160&lt;=Summary!$B$9,OR(F160="",F160&gt;=Summary!$B$10)),"Correct","Incorrect"))</f>
        <v>Correct</v>
      </c>
      <c r="I160" s="26" t="s">
        <v>80</v>
      </c>
      <c r="J160" s="11" t="s">
        <v>78</v>
      </c>
      <c r="K160" s="24" t="str">
        <f aca="false">IF(J160="Yes",IF(I160="Correct","Incorrect","Correct"),I160)</f>
        <v>Correct</v>
      </c>
      <c r="L160" s="24" t="str">
        <f aca="false">IF(I160="Incorrect",IF(H160="Incorrect","TP","FN"),IF(H160="Incorrect","FP","TN"))</f>
        <v>TN</v>
      </c>
      <c r="M160" s="24" t="n">
        <f aca="false">IF(H160=I160,1,0)</f>
        <v>1</v>
      </c>
      <c r="N160" s="24" t="n">
        <f aca="false">IF(G160=I160,1,0)</f>
        <v>1</v>
      </c>
      <c r="O160" s="24" t="n">
        <f aca="false">IF(H160=K160,1,0)</f>
        <v>1</v>
      </c>
      <c r="P160" s="24"/>
      <c r="Q160" s="24" t="s">
        <v>85</v>
      </c>
    </row>
    <row r="161" customFormat="false" ht="15" hidden="false" customHeight="false" outlineLevel="0" collapsed="false">
      <c r="A161" s="11" t="s">
        <v>57</v>
      </c>
      <c r="B161" s="11" t="s">
        <v>32</v>
      </c>
      <c r="C161" s="11" t="n">
        <v>1</v>
      </c>
      <c r="D161" s="11" t="n">
        <v>10</v>
      </c>
      <c r="E161" s="25" t="n">
        <v>73.2</v>
      </c>
      <c r="F161" s="25" t="n">
        <v>32.6</v>
      </c>
      <c r="G161" s="11" t="s">
        <v>80</v>
      </c>
      <c r="H161" s="24" t="str">
        <f aca="false">IF(B161="Squat",IF(AND(E161&lt;=Summary!$B$7,OR(F161="",F161&lt;=Summary!$B$8)),"Correct","Incorrect"),IF(AND(E161&lt;=Summary!$B$9,OR(F161="",F161&gt;=Summary!$B$10)),"Correct","Incorrect"))</f>
        <v>Correct</v>
      </c>
      <c r="I161" s="26" t="s">
        <v>80</v>
      </c>
      <c r="J161" s="11" t="s">
        <v>78</v>
      </c>
      <c r="K161" s="24" t="str">
        <f aca="false">IF(J161="Yes",IF(I161="Correct","Incorrect","Correct"),I161)</f>
        <v>Correct</v>
      </c>
      <c r="L161" s="24" t="str">
        <f aca="false">IF(I161="Incorrect",IF(H161="Incorrect","TP","FN"),IF(H161="Incorrect","FP","TN"))</f>
        <v>TN</v>
      </c>
      <c r="M161" s="24" t="n">
        <f aca="false">IF(H161=I161,1,0)</f>
        <v>1</v>
      </c>
      <c r="N161" s="24" t="n">
        <f aca="false">IF(G161=I161,1,0)</f>
        <v>1</v>
      </c>
      <c r="O161" s="24" t="n">
        <f aca="false">IF(H161=K161,1,0)</f>
        <v>1</v>
      </c>
      <c r="P161" s="24"/>
      <c r="Q161" s="24" t="s">
        <v>85</v>
      </c>
    </row>
    <row r="162" customFormat="false" ht="15" hidden="false" customHeight="false" outlineLevel="0" collapsed="false">
      <c r="A162" s="11" t="s">
        <v>57</v>
      </c>
      <c r="B162" s="11" t="s">
        <v>32</v>
      </c>
      <c r="C162" s="11" t="n">
        <v>2</v>
      </c>
      <c r="D162" s="11" t="n">
        <v>1</v>
      </c>
      <c r="E162" s="25" t="n">
        <v>81.5</v>
      </c>
      <c r="F162" s="25" t="n">
        <v>31.2</v>
      </c>
      <c r="G162" s="11" t="s">
        <v>77</v>
      </c>
      <c r="H162" s="24" t="str">
        <f aca="false">IF(B162="Squat",IF(AND(E162&lt;=Summary!$B$7,OR(F162="",F162&lt;=Summary!$B$8)),"Correct","Incorrect"),IF(AND(E162&lt;=Summary!$B$9,OR(F162="",F162&gt;=Summary!$B$10)),"Correct","Incorrect"))</f>
        <v>Incorrect</v>
      </c>
      <c r="I162" s="26" t="s">
        <v>80</v>
      </c>
      <c r="J162" s="11" t="s">
        <v>78</v>
      </c>
      <c r="K162" s="24" t="str">
        <f aca="false">IF(J162="Yes",IF(I162="Correct","Incorrect","Correct"),I162)</f>
        <v>Correct</v>
      </c>
      <c r="L162" s="24" t="str">
        <f aca="false">IF(I162="Incorrect",IF(H162="Incorrect","TP","FN"),IF(H162="Incorrect","FP","TN"))</f>
        <v>FP</v>
      </c>
      <c r="M162" s="24" t="n">
        <f aca="false">IF(H162=I162,1,0)</f>
        <v>0</v>
      </c>
      <c r="N162" s="24" t="n">
        <f aca="false">IF(G162=I162,1,0)</f>
        <v>0</v>
      </c>
      <c r="O162" s="24" t="n">
        <f aca="false">IF(H162=K162,1,0)</f>
        <v>0</v>
      </c>
      <c r="P162" s="24"/>
      <c r="Q162" s="24" t="s">
        <v>85</v>
      </c>
    </row>
    <row r="163" customFormat="false" ht="15" hidden="false" customHeight="false" outlineLevel="0" collapsed="false">
      <c r="A163" s="11" t="s">
        <v>57</v>
      </c>
      <c r="B163" s="11" t="s">
        <v>32</v>
      </c>
      <c r="C163" s="11" t="n">
        <v>2</v>
      </c>
      <c r="D163" s="11" t="n">
        <v>2</v>
      </c>
      <c r="E163" s="25" t="n">
        <v>82</v>
      </c>
      <c r="F163" s="25" t="n">
        <v>31.8</v>
      </c>
      <c r="G163" s="11" t="s">
        <v>77</v>
      </c>
      <c r="H163" s="24" t="str">
        <f aca="false">IF(B163="Squat",IF(AND(E163&lt;=Summary!$B$7,OR(F163="",F163&lt;=Summary!$B$8)),"Correct","Incorrect"),IF(AND(E163&lt;=Summary!$B$9,OR(F163="",F163&gt;=Summary!$B$10)),"Correct","Incorrect"))</f>
        <v>Incorrect</v>
      </c>
      <c r="I163" s="26" t="s">
        <v>80</v>
      </c>
      <c r="J163" s="11" t="s">
        <v>78</v>
      </c>
      <c r="K163" s="24" t="str">
        <f aca="false">IF(J163="Yes",IF(I163="Correct","Incorrect","Correct"),I163)</f>
        <v>Correct</v>
      </c>
      <c r="L163" s="24" t="str">
        <f aca="false">IF(I163="Incorrect",IF(H163="Incorrect","TP","FN"),IF(H163="Incorrect","FP","TN"))</f>
        <v>FP</v>
      </c>
      <c r="M163" s="24" t="n">
        <f aca="false">IF(H163=I163,1,0)</f>
        <v>0</v>
      </c>
      <c r="N163" s="24" t="n">
        <f aca="false">IF(G163=I163,1,0)</f>
        <v>0</v>
      </c>
      <c r="O163" s="24" t="n">
        <f aca="false">IF(H163=K163,1,0)</f>
        <v>0</v>
      </c>
      <c r="P163" s="24"/>
      <c r="Q163" s="24" t="s">
        <v>85</v>
      </c>
    </row>
    <row r="164" customFormat="false" ht="15" hidden="false" customHeight="false" outlineLevel="0" collapsed="false">
      <c r="A164" s="11" t="s">
        <v>57</v>
      </c>
      <c r="B164" s="11" t="s">
        <v>32</v>
      </c>
      <c r="C164" s="11" t="n">
        <v>2</v>
      </c>
      <c r="D164" s="11" t="n">
        <v>3</v>
      </c>
      <c r="E164" s="25" t="n">
        <v>90.6</v>
      </c>
      <c r="F164" s="25" t="n">
        <v>26.1</v>
      </c>
      <c r="G164" s="11" t="s">
        <v>77</v>
      </c>
      <c r="H164" s="24" t="str">
        <f aca="false">IF(B164="Squat",IF(AND(E164&lt;=Summary!$B$7,OR(F164="",F164&lt;=Summary!$B$8)),"Correct","Incorrect"),IF(AND(E164&lt;=Summary!$B$9,OR(F164="",F164&gt;=Summary!$B$10)),"Correct","Incorrect"))</f>
        <v>Incorrect</v>
      </c>
      <c r="I164" s="26" t="s">
        <v>77</v>
      </c>
      <c r="J164" s="11" t="s">
        <v>86</v>
      </c>
      <c r="K164" s="24" t="str">
        <f aca="false">IF(J164="Yes",IF(I164="Correct","Incorrect","Correct"),I164)</f>
        <v>Correct</v>
      </c>
      <c r="L164" s="24" t="str">
        <f aca="false">IF(I164="Incorrect",IF(H164="Incorrect","TP","FN"),IF(H164="Incorrect","FP","TN"))</f>
        <v>TP</v>
      </c>
      <c r="M164" s="24" t="n">
        <f aca="false">IF(H164=I164,1,0)</f>
        <v>1</v>
      </c>
      <c r="N164" s="24" t="n">
        <f aca="false">IF(G164=I164,1,0)</f>
        <v>1</v>
      </c>
      <c r="O164" s="24" t="n">
        <f aca="false">IF(H164=K164,1,0)</f>
        <v>0</v>
      </c>
      <c r="P164" s="27" t="s">
        <v>87</v>
      </c>
      <c r="Q164" s="24" t="s">
        <v>85</v>
      </c>
    </row>
    <row r="165" customFormat="false" ht="15" hidden="false" customHeight="false" outlineLevel="0" collapsed="false">
      <c r="A165" s="11" t="s">
        <v>57</v>
      </c>
      <c r="B165" s="11" t="s">
        <v>32</v>
      </c>
      <c r="C165" s="11" t="n">
        <v>2</v>
      </c>
      <c r="D165" s="11" t="n">
        <v>4</v>
      </c>
      <c r="E165" s="25" t="n">
        <v>76.8</v>
      </c>
      <c r="F165" s="25" t="n">
        <v>33.1</v>
      </c>
      <c r="G165" s="11" t="s">
        <v>80</v>
      </c>
      <c r="H165" s="24" t="str">
        <f aca="false">IF(B165="Squat",IF(AND(E165&lt;=Summary!$B$7,OR(F165="",F165&lt;=Summary!$B$8)),"Correct","Incorrect"),IF(AND(E165&lt;=Summary!$B$9,OR(F165="",F165&gt;=Summary!$B$10)),"Correct","Incorrect"))</f>
        <v>Correct</v>
      </c>
      <c r="I165" s="26" t="s">
        <v>80</v>
      </c>
      <c r="J165" s="11" t="s">
        <v>78</v>
      </c>
      <c r="K165" s="24" t="str">
        <f aca="false">IF(J165="Yes",IF(I165="Correct","Incorrect","Correct"),I165)</f>
        <v>Correct</v>
      </c>
      <c r="L165" s="24" t="str">
        <f aca="false">IF(I165="Incorrect",IF(H165="Incorrect","TP","FN"),IF(H165="Incorrect","FP","TN"))</f>
        <v>TN</v>
      </c>
      <c r="M165" s="24" t="n">
        <f aca="false">IF(H165=I165,1,0)</f>
        <v>1</v>
      </c>
      <c r="N165" s="24" t="n">
        <f aca="false">IF(G165=I165,1,0)</f>
        <v>1</v>
      </c>
      <c r="O165" s="24" t="n">
        <f aca="false">IF(H165=K165,1,0)</f>
        <v>1</v>
      </c>
      <c r="P165" s="24"/>
      <c r="Q165" s="24" t="s">
        <v>85</v>
      </c>
    </row>
    <row r="166" customFormat="false" ht="15" hidden="false" customHeight="false" outlineLevel="0" collapsed="false">
      <c r="A166" s="11" t="s">
        <v>57</v>
      </c>
      <c r="B166" s="11" t="s">
        <v>32</v>
      </c>
      <c r="C166" s="11" t="n">
        <v>2</v>
      </c>
      <c r="D166" s="11" t="n">
        <v>5</v>
      </c>
      <c r="E166" s="25" t="n">
        <v>73.7</v>
      </c>
      <c r="F166" s="25" t="n">
        <v>28.4</v>
      </c>
      <c r="G166" s="11" t="s">
        <v>80</v>
      </c>
      <c r="H166" s="24" t="str">
        <f aca="false">IF(B166="Squat",IF(AND(E166&lt;=Summary!$B$7,OR(F166="",F166&lt;=Summary!$B$8)),"Correct","Incorrect"),IF(AND(E166&lt;=Summary!$B$9,OR(F166="",F166&gt;=Summary!$B$10)),"Correct","Incorrect"))</f>
        <v>Correct</v>
      </c>
      <c r="I166" s="26" t="s">
        <v>80</v>
      </c>
      <c r="J166" s="11" t="s">
        <v>78</v>
      </c>
      <c r="K166" s="24" t="str">
        <f aca="false">IF(J166="Yes",IF(I166="Correct","Incorrect","Correct"),I166)</f>
        <v>Correct</v>
      </c>
      <c r="L166" s="24" t="str">
        <f aca="false">IF(I166="Incorrect",IF(H166="Incorrect","TP","FN"),IF(H166="Incorrect","FP","TN"))</f>
        <v>TN</v>
      </c>
      <c r="M166" s="24" t="n">
        <f aca="false">IF(H166=I166,1,0)</f>
        <v>1</v>
      </c>
      <c r="N166" s="24" t="n">
        <f aca="false">IF(G166=I166,1,0)</f>
        <v>1</v>
      </c>
      <c r="O166" s="24" t="n">
        <f aca="false">IF(H166=K166,1,0)</f>
        <v>1</v>
      </c>
      <c r="P166" s="24"/>
      <c r="Q166" s="24" t="s">
        <v>85</v>
      </c>
    </row>
    <row r="167" customFormat="false" ht="15" hidden="false" customHeight="false" outlineLevel="0" collapsed="false">
      <c r="A167" s="11" t="s">
        <v>57</v>
      </c>
      <c r="B167" s="11" t="s">
        <v>32</v>
      </c>
      <c r="C167" s="11" t="n">
        <v>2</v>
      </c>
      <c r="D167" s="11" t="n">
        <v>6</v>
      </c>
      <c r="E167" s="25" t="n">
        <v>73.5</v>
      </c>
      <c r="F167" s="25" t="n">
        <v>29.7</v>
      </c>
      <c r="G167" s="11" t="s">
        <v>80</v>
      </c>
      <c r="H167" s="24" t="str">
        <f aca="false">IF(B167="Squat",IF(AND(E167&lt;=Summary!$B$7,OR(F167="",F167&lt;=Summary!$B$8)),"Correct","Incorrect"),IF(AND(E167&lt;=Summary!$B$9,OR(F167="",F167&gt;=Summary!$B$10)),"Correct","Incorrect"))</f>
        <v>Correct</v>
      </c>
      <c r="I167" s="26" t="s">
        <v>80</v>
      </c>
      <c r="J167" s="11" t="s">
        <v>78</v>
      </c>
      <c r="K167" s="24" t="str">
        <f aca="false">IF(J167="Yes",IF(I167="Correct","Incorrect","Correct"),I167)</f>
        <v>Correct</v>
      </c>
      <c r="L167" s="24" t="str">
        <f aca="false">IF(I167="Incorrect",IF(H167="Incorrect","TP","FN"),IF(H167="Incorrect","FP","TN"))</f>
        <v>TN</v>
      </c>
      <c r="M167" s="24" t="n">
        <f aca="false">IF(H167=I167,1,0)</f>
        <v>1</v>
      </c>
      <c r="N167" s="24" t="n">
        <f aca="false">IF(G167=I167,1,0)</f>
        <v>1</v>
      </c>
      <c r="O167" s="24" t="n">
        <f aca="false">IF(H167=K167,1,0)</f>
        <v>1</v>
      </c>
      <c r="P167" s="24"/>
      <c r="Q167" s="24" t="s">
        <v>85</v>
      </c>
    </row>
    <row r="168" customFormat="false" ht="15" hidden="false" customHeight="false" outlineLevel="0" collapsed="false">
      <c r="A168" s="11" t="s">
        <v>57</v>
      </c>
      <c r="B168" s="11" t="s">
        <v>32</v>
      </c>
      <c r="C168" s="11" t="n">
        <v>2</v>
      </c>
      <c r="D168" s="11" t="n">
        <v>7</v>
      </c>
      <c r="E168" s="25" t="n">
        <v>73.1</v>
      </c>
      <c r="F168" s="25" t="n">
        <v>29.2</v>
      </c>
      <c r="G168" s="11" t="s">
        <v>80</v>
      </c>
      <c r="H168" s="24" t="str">
        <f aca="false">IF(B168="Squat",IF(AND(E168&lt;=Summary!$B$7,OR(F168="",F168&lt;=Summary!$B$8)),"Correct","Incorrect"),IF(AND(E168&lt;=Summary!$B$9,OR(F168="",F168&gt;=Summary!$B$10)),"Correct","Incorrect"))</f>
        <v>Correct</v>
      </c>
      <c r="I168" s="26" t="s">
        <v>80</v>
      </c>
      <c r="J168" s="11" t="s">
        <v>78</v>
      </c>
      <c r="K168" s="24" t="str">
        <f aca="false">IF(J168="Yes",IF(I168="Correct","Incorrect","Correct"),I168)</f>
        <v>Correct</v>
      </c>
      <c r="L168" s="24" t="str">
        <f aca="false">IF(I168="Incorrect",IF(H168="Incorrect","TP","FN"),IF(H168="Incorrect","FP","TN"))</f>
        <v>TN</v>
      </c>
      <c r="M168" s="24" t="n">
        <f aca="false">IF(H168=I168,1,0)</f>
        <v>1</v>
      </c>
      <c r="N168" s="24" t="n">
        <f aca="false">IF(G168=I168,1,0)</f>
        <v>1</v>
      </c>
      <c r="O168" s="24" t="n">
        <f aca="false">IF(H168=K168,1,0)</f>
        <v>1</v>
      </c>
      <c r="P168" s="24"/>
      <c r="Q168" s="24" t="s">
        <v>85</v>
      </c>
    </row>
    <row r="169" customFormat="false" ht="15" hidden="false" customHeight="false" outlineLevel="0" collapsed="false">
      <c r="A169" s="11" t="s">
        <v>57</v>
      </c>
      <c r="B169" s="11" t="s">
        <v>32</v>
      </c>
      <c r="C169" s="11" t="n">
        <v>2</v>
      </c>
      <c r="D169" s="11" t="n">
        <v>8</v>
      </c>
      <c r="E169" s="25" t="n">
        <v>73.2</v>
      </c>
      <c r="F169" s="25" t="n">
        <v>29.9</v>
      </c>
      <c r="G169" s="11" t="s">
        <v>80</v>
      </c>
      <c r="H169" s="24" t="str">
        <f aca="false">IF(B169="Squat",IF(AND(E169&lt;=Summary!$B$7,OR(F169="",F169&lt;=Summary!$B$8)),"Correct","Incorrect"),IF(AND(E169&lt;=Summary!$B$9,OR(F169="",F169&gt;=Summary!$B$10)),"Correct","Incorrect"))</f>
        <v>Correct</v>
      </c>
      <c r="I169" s="26" t="s">
        <v>80</v>
      </c>
      <c r="J169" s="11" t="s">
        <v>78</v>
      </c>
      <c r="K169" s="24" t="str">
        <f aca="false">IF(J169="Yes",IF(I169="Correct","Incorrect","Correct"),I169)</f>
        <v>Correct</v>
      </c>
      <c r="L169" s="24" t="str">
        <f aca="false">IF(I169="Incorrect",IF(H169="Incorrect","TP","FN"),IF(H169="Incorrect","FP","TN"))</f>
        <v>TN</v>
      </c>
      <c r="M169" s="24" t="n">
        <f aca="false">IF(H169=I169,1,0)</f>
        <v>1</v>
      </c>
      <c r="N169" s="24" t="n">
        <f aca="false">IF(G169=I169,1,0)</f>
        <v>1</v>
      </c>
      <c r="O169" s="24" t="n">
        <f aca="false">IF(H169=K169,1,0)</f>
        <v>1</v>
      </c>
      <c r="P169" s="24"/>
      <c r="Q169" s="24" t="s">
        <v>85</v>
      </c>
    </row>
    <row r="170" customFormat="false" ht="15" hidden="false" customHeight="false" outlineLevel="0" collapsed="false">
      <c r="A170" s="11" t="s">
        <v>57</v>
      </c>
      <c r="B170" s="11" t="s">
        <v>32</v>
      </c>
      <c r="C170" s="11" t="n">
        <v>2</v>
      </c>
      <c r="D170" s="11" t="n">
        <v>9</v>
      </c>
      <c r="E170" s="25" t="n">
        <v>72.9</v>
      </c>
      <c r="F170" s="25" t="n">
        <v>30.4</v>
      </c>
      <c r="G170" s="11" t="s">
        <v>80</v>
      </c>
      <c r="H170" s="24" t="str">
        <f aca="false">IF(B170="Squat",IF(AND(E170&lt;=Summary!$B$7,OR(F170="",F170&lt;=Summary!$B$8)),"Correct","Incorrect"),IF(AND(E170&lt;=Summary!$B$9,OR(F170="",F170&gt;=Summary!$B$10)),"Correct","Incorrect"))</f>
        <v>Correct</v>
      </c>
      <c r="I170" s="26" t="s">
        <v>80</v>
      </c>
      <c r="J170" s="11" t="s">
        <v>78</v>
      </c>
      <c r="K170" s="24" t="str">
        <f aca="false">IF(J170="Yes",IF(I170="Correct","Incorrect","Correct"),I170)</f>
        <v>Correct</v>
      </c>
      <c r="L170" s="24" t="str">
        <f aca="false">IF(I170="Incorrect",IF(H170="Incorrect","TP","FN"),IF(H170="Incorrect","FP","TN"))</f>
        <v>TN</v>
      </c>
      <c r="M170" s="24" t="n">
        <f aca="false">IF(H170=I170,1,0)</f>
        <v>1</v>
      </c>
      <c r="N170" s="24" t="n">
        <f aca="false">IF(G170=I170,1,0)</f>
        <v>1</v>
      </c>
      <c r="O170" s="24" t="n">
        <f aca="false">IF(H170=K170,1,0)</f>
        <v>1</v>
      </c>
      <c r="P170" s="24"/>
      <c r="Q170" s="24" t="s">
        <v>85</v>
      </c>
    </row>
    <row r="171" customFormat="false" ht="15" hidden="false" customHeight="false" outlineLevel="0" collapsed="false">
      <c r="A171" s="11" t="s">
        <v>57</v>
      </c>
      <c r="B171" s="11" t="s">
        <v>32</v>
      </c>
      <c r="C171" s="11" t="n">
        <v>2</v>
      </c>
      <c r="D171" s="11" t="n">
        <v>10</v>
      </c>
      <c r="E171" s="25" t="n">
        <v>71.1</v>
      </c>
      <c r="F171" s="25" t="n">
        <v>31.1</v>
      </c>
      <c r="G171" s="11" t="s">
        <v>80</v>
      </c>
      <c r="H171" s="24" t="str">
        <f aca="false">IF(B171="Squat",IF(AND(E171&lt;=Summary!$B$7,OR(F171="",F171&lt;=Summary!$B$8)),"Correct","Incorrect"),IF(AND(E171&lt;=Summary!$B$9,OR(F171="",F171&gt;=Summary!$B$10)),"Correct","Incorrect"))</f>
        <v>Correct</v>
      </c>
      <c r="I171" s="26" t="s">
        <v>80</v>
      </c>
      <c r="J171" s="11" t="s">
        <v>78</v>
      </c>
      <c r="K171" s="24" t="str">
        <f aca="false">IF(J171="Yes",IF(I171="Correct","Incorrect","Correct"),I171)</f>
        <v>Correct</v>
      </c>
      <c r="L171" s="24" t="str">
        <f aca="false">IF(I171="Incorrect",IF(H171="Incorrect","TP","FN"),IF(H171="Incorrect","FP","TN"))</f>
        <v>TN</v>
      </c>
      <c r="M171" s="24" t="n">
        <f aca="false">IF(H171=I171,1,0)</f>
        <v>1</v>
      </c>
      <c r="N171" s="24" t="n">
        <f aca="false">IF(G171=I171,1,0)</f>
        <v>1</v>
      </c>
      <c r="O171" s="24" t="n">
        <f aca="false">IF(H171=K171,1,0)</f>
        <v>1</v>
      </c>
      <c r="P171" s="24"/>
      <c r="Q171" s="24" t="s">
        <v>85</v>
      </c>
    </row>
    <row r="172" customFormat="false" ht="15" hidden="false" customHeight="false" outlineLevel="0" collapsed="false">
      <c r="A172" s="11" t="s">
        <v>57</v>
      </c>
      <c r="B172" s="11" t="s">
        <v>32</v>
      </c>
      <c r="C172" s="11" t="n">
        <v>3</v>
      </c>
      <c r="D172" s="11" t="n">
        <v>1</v>
      </c>
      <c r="E172" s="25" t="n">
        <v>104.9</v>
      </c>
      <c r="F172" s="25" t="n">
        <v>21.3</v>
      </c>
      <c r="G172" s="11" t="s">
        <v>77</v>
      </c>
      <c r="H172" s="24" t="str">
        <f aca="false">IF(B172="Squat",IF(AND(E172&lt;=Summary!$B$7,OR(F172="",F172&lt;=Summary!$B$8)),"Correct","Incorrect"),IF(AND(E172&lt;=Summary!$B$9,OR(F172="",F172&gt;=Summary!$B$10)),"Correct","Incorrect"))</f>
        <v>Incorrect</v>
      </c>
      <c r="I172" s="26" t="s">
        <v>77</v>
      </c>
      <c r="J172" s="11" t="s">
        <v>78</v>
      </c>
      <c r="K172" s="24" t="str">
        <f aca="false">IF(J172="Yes",IF(I172="Correct","Incorrect","Correct"),I172)</f>
        <v>Incorrect</v>
      </c>
      <c r="L172" s="24" t="str">
        <f aca="false">IF(I172="Incorrect",IF(H172="Incorrect","TP","FN"),IF(H172="Incorrect","FP","TN"))</f>
        <v>TP</v>
      </c>
      <c r="M172" s="24" t="n">
        <f aca="false">IF(H172=I172,1,0)</f>
        <v>1</v>
      </c>
      <c r="N172" s="24" t="n">
        <f aca="false">IF(G172=I172,1,0)</f>
        <v>1</v>
      </c>
      <c r="O172" s="24" t="n">
        <f aca="false">IF(H172=K172,1,0)</f>
        <v>1</v>
      </c>
      <c r="P172" s="24"/>
      <c r="Q172" s="24" t="s">
        <v>85</v>
      </c>
    </row>
    <row r="173" customFormat="false" ht="15" hidden="false" customHeight="false" outlineLevel="0" collapsed="false">
      <c r="A173" s="11" t="s">
        <v>57</v>
      </c>
      <c r="B173" s="11" t="s">
        <v>32</v>
      </c>
      <c r="C173" s="11" t="n">
        <v>3</v>
      </c>
      <c r="D173" s="11" t="n">
        <v>2</v>
      </c>
      <c r="E173" s="25" t="n">
        <v>108.9</v>
      </c>
      <c r="F173" s="25" t="n">
        <v>14.5</v>
      </c>
      <c r="G173" s="11" t="s">
        <v>77</v>
      </c>
      <c r="H173" s="24" t="str">
        <f aca="false">IF(B173="Squat",IF(AND(E173&lt;=Summary!$B$7,OR(F173="",F173&lt;=Summary!$B$8)),"Correct","Incorrect"),IF(AND(E173&lt;=Summary!$B$9,OR(F173="",F173&gt;=Summary!$B$10)),"Correct","Incorrect"))</f>
        <v>Incorrect</v>
      </c>
      <c r="I173" s="26" t="s">
        <v>77</v>
      </c>
      <c r="J173" s="11" t="s">
        <v>78</v>
      </c>
      <c r="K173" s="24" t="str">
        <f aca="false">IF(J173="Yes",IF(I173="Correct","Incorrect","Correct"),I173)</f>
        <v>Incorrect</v>
      </c>
      <c r="L173" s="24" t="str">
        <f aca="false">IF(I173="Incorrect",IF(H173="Incorrect","TP","FN"),IF(H173="Incorrect","FP","TN"))</f>
        <v>TP</v>
      </c>
      <c r="M173" s="24" t="n">
        <f aca="false">IF(H173=I173,1,0)</f>
        <v>1</v>
      </c>
      <c r="N173" s="24" t="n">
        <f aca="false">IF(G173=I173,1,0)</f>
        <v>1</v>
      </c>
      <c r="O173" s="24" t="n">
        <f aca="false">IF(H173=K173,1,0)</f>
        <v>1</v>
      </c>
      <c r="P173" s="24"/>
      <c r="Q173" s="24" t="s">
        <v>85</v>
      </c>
    </row>
    <row r="174" customFormat="false" ht="15" hidden="false" customHeight="false" outlineLevel="0" collapsed="false">
      <c r="A174" s="11" t="s">
        <v>57</v>
      </c>
      <c r="B174" s="11" t="s">
        <v>32</v>
      </c>
      <c r="C174" s="11" t="n">
        <v>3</v>
      </c>
      <c r="D174" s="11" t="n">
        <v>3</v>
      </c>
      <c r="E174" s="25" t="n">
        <v>109.9</v>
      </c>
      <c r="F174" s="25" t="n">
        <v>11.9</v>
      </c>
      <c r="G174" s="11" t="s">
        <v>77</v>
      </c>
      <c r="H174" s="24" t="str">
        <f aca="false">IF(B174="Squat",IF(AND(E174&lt;=Summary!$B$7,OR(F174="",F174&lt;=Summary!$B$8)),"Correct","Incorrect"),IF(AND(E174&lt;=Summary!$B$9,OR(F174="",F174&gt;=Summary!$B$10)),"Correct","Incorrect"))</f>
        <v>Incorrect</v>
      </c>
      <c r="I174" s="26" t="s">
        <v>77</v>
      </c>
      <c r="J174" s="11" t="s">
        <v>78</v>
      </c>
      <c r="K174" s="24" t="str">
        <f aca="false">IF(J174="Yes",IF(I174="Correct","Incorrect","Correct"),I174)</f>
        <v>Incorrect</v>
      </c>
      <c r="L174" s="24" t="str">
        <f aca="false">IF(I174="Incorrect",IF(H174="Incorrect","TP","FN"),IF(H174="Incorrect","FP","TN"))</f>
        <v>TP</v>
      </c>
      <c r="M174" s="24" t="n">
        <f aca="false">IF(H174=I174,1,0)</f>
        <v>1</v>
      </c>
      <c r="N174" s="24" t="n">
        <f aca="false">IF(G174=I174,1,0)</f>
        <v>1</v>
      </c>
      <c r="O174" s="24" t="n">
        <f aca="false">IF(H174=K174,1,0)</f>
        <v>1</v>
      </c>
      <c r="P174" s="24"/>
      <c r="Q174" s="24" t="s">
        <v>85</v>
      </c>
    </row>
    <row r="175" customFormat="false" ht="15" hidden="false" customHeight="false" outlineLevel="0" collapsed="false">
      <c r="A175" s="11" t="s">
        <v>57</v>
      </c>
      <c r="B175" s="11" t="s">
        <v>32</v>
      </c>
      <c r="C175" s="11" t="n">
        <v>3</v>
      </c>
      <c r="D175" s="11" t="n">
        <v>4</v>
      </c>
      <c r="E175" s="25" t="n">
        <v>102.5</v>
      </c>
      <c r="F175" s="25" t="n">
        <v>13.3</v>
      </c>
      <c r="G175" s="11" t="s">
        <v>77</v>
      </c>
      <c r="H175" s="24" t="str">
        <f aca="false">IF(B175="Squat",IF(AND(E175&lt;=Summary!$B$7,OR(F175="",F175&lt;=Summary!$B$8)),"Correct","Incorrect"),IF(AND(E175&lt;=Summary!$B$9,OR(F175="",F175&gt;=Summary!$B$10)),"Correct","Incorrect"))</f>
        <v>Incorrect</v>
      </c>
      <c r="I175" s="26" t="s">
        <v>77</v>
      </c>
      <c r="J175" s="11" t="s">
        <v>78</v>
      </c>
      <c r="K175" s="24" t="str">
        <f aca="false">IF(J175="Yes",IF(I175="Correct","Incorrect","Correct"),I175)</f>
        <v>Incorrect</v>
      </c>
      <c r="L175" s="24" t="str">
        <f aca="false">IF(I175="Incorrect",IF(H175="Incorrect","TP","FN"),IF(H175="Incorrect","FP","TN"))</f>
        <v>TP</v>
      </c>
      <c r="M175" s="24" t="n">
        <f aca="false">IF(H175=I175,1,0)</f>
        <v>1</v>
      </c>
      <c r="N175" s="24" t="n">
        <f aca="false">IF(G175=I175,1,0)</f>
        <v>1</v>
      </c>
      <c r="O175" s="24" t="n">
        <f aca="false">IF(H175=K175,1,0)</f>
        <v>1</v>
      </c>
      <c r="P175" s="24"/>
      <c r="Q175" s="24" t="s">
        <v>85</v>
      </c>
    </row>
    <row r="176" customFormat="false" ht="15" hidden="false" customHeight="false" outlineLevel="0" collapsed="false">
      <c r="A176" s="11" t="s">
        <v>57</v>
      </c>
      <c r="B176" s="11" t="s">
        <v>32</v>
      </c>
      <c r="C176" s="11" t="n">
        <v>3</v>
      </c>
      <c r="D176" s="11" t="n">
        <v>5</v>
      </c>
      <c r="E176" s="25" t="n">
        <v>103.9</v>
      </c>
      <c r="F176" s="25" t="n">
        <v>19.7</v>
      </c>
      <c r="G176" s="11" t="s">
        <v>77</v>
      </c>
      <c r="H176" s="24" t="str">
        <f aca="false">IF(B176="Squat",IF(AND(E176&lt;=Summary!$B$7,OR(F176="",F176&lt;=Summary!$B$8)),"Correct","Incorrect"),IF(AND(E176&lt;=Summary!$B$9,OR(F176="",F176&gt;=Summary!$B$10)),"Correct","Incorrect"))</f>
        <v>Incorrect</v>
      </c>
      <c r="I176" s="26" t="s">
        <v>77</v>
      </c>
      <c r="J176" s="11" t="s">
        <v>78</v>
      </c>
      <c r="K176" s="24" t="str">
        <f aca="false">IF(J176="Yes",IF(I176="Correct","Incorrect","Correct"),I176)</f>
        <v>Incorrect</v>
      </c>
      <c r="L176" s="24" t="str">
        <f aca="false">IF(I176="Incorrect",IF(H176="Incorrect","TP","FN"),IF(H176="Incorrect","FP","TN"))</f>
        <v>TP</v>
      </c>
      <c r="M176" s="24" t="n">
        <f aca="false">IF(H176=I176,1,0)</f>
        <v>1</v>
      </c>
      <c r="N176" s="24" t="n">
        <f aca="false">IF(G176=I176,1,0)</f>
        <v>1</v>
      </c>
      <c r="O176" s="24" t="n">
        <f aca="false">IF(H176=K176,1,0)</f>
        <v>1</v>
      </c>
      <c r="P176" s="24"/>
      <c r="Q176" s="24" t="s">
        <v>85</v>
      </c>
    </row>
    <row r="177" customFormat="false" ht="15" hidden="false" customHeight="false" outlineLevel="0" collapsed="false">
      <c r="A177" s="11" t="s">
        <v>57</v>
      </c>
      <c r="B177" s="11" t="s">
        <v>32</v>
      </c>
      <c r="C177" s="11" t="n">
        <v>3</v>
      </c>
      <c r="D177" s="11" t="n">
        <v>6</v>
      </c>
      <c r="E177" s="25" t="n">
        <v>99.9</v>
      </c>
      <c r="F177" s="25" t="n">
        <v>23.1</v>
      </c>
      <c r="G177" s="11" t="s">
        <v>77</v>
      </c>
      <c r="H177" s="24" t="str">
        <f aca="false">IF(B177="Squat",IF(AND(E177&lt;=Summary!$B$7,OR(F177="",F177&lt;=Summary!$B$8)),"Correct","Incorrect"),IF(AND(E177&lt;=Summary!$B$9,OR(F177="",F177&gt;=Summary!$B$10)),"Correct","Incorrect"))</f>
        <v>Incorrect</v>
      </c>
      <c r="I177" s="26" t="s">
        <v>77</v>
      </c>
      <c r="J177" s="11" t="s">
        <v>78</v>
      </c>
      <c r="K177" s="24" t="str">
        <f aca="false">IF(J177="Yes",IF(I177="Correct","Incorrect","Correct"),I177)</f>
        <v>Incorrect</v>
      </c>
      <c r="L177" s="24" t="str">
        <f aca="false">IF(I177="Incorrect",IF(H177="Incorrect","TP","FN"),IF(H177="Incorrect","FP","TN"))</f>
        <v>TP</v>
      </c>
      <c r="M177" s="24" t="n">
        <f aca="false">IF(H177=I177,1,0)</f>
        <v>1</v>
      </c>
      <c r="N177" s="24" t="n">
        <f aca="false">IF(G177=I177,1,0)</f>
        <v>1</v>
      </c>
      <c r="O177" s="24" t="n">
        <f aca="false">IF(H177=K177,1,0)</f>
        <v>1</v>
      </c>
      <c r="P177" s="24"/>
      <c r="Q177" s="24" t="s">
        <v>85</v>
      </c>
    </row>
    <row r="178" customFormat="false" ht="15" hidden="false" customHeight="false" outlineLevel="0" collapsed="false">
      <c r="A178" s="11" t="s">
        <v>57</v>
      </c>
      <c r="B178" s="11" t="s">
        <v>32</v>
      </c>
      <c r="C178" s="11" t="n">
        <v>3</v>
      </c>
      <c r="D178" s="11" t="n">
        <v>7</v>
      </c>
      <c r="E178" s="25" t="n">
        <v>70.4</v>
      </c>
      <c r="F178" s="25" t="n">
        <v>32.2</v>
      </c>
      <c r="G178" s="11" t="s">
        <v>80</v>
      </c>
      <c r="H178" s="24" t="str">
        <f aca="false">IF(B178="Squat",IF(AND(E178&lt;=Summary!$B$7,OR(F178="",F178&lt;=Summary!$B$8)),"Correct","Incorrect"),IF(AND(E178&lt;=Summary!$B$9,OR(F178="",F178&gt;=Summary!$B$10)),"Correct","Incorrect"))</f>
        <v>Correct</v>
      </c>
      <c r="I178" s="26" t="s">
        <v>77</v>
      </c>
      <c r="J178" s="11" t="s">
        <v>78</v>
      </c>
      <c r="K178" s="24" t="str">
        <f aca="false">IF(J178="Yes",IF(I178="Correct","Incorrect","Correct"),I178)</f>
        <v>Incorrect</v>
      </c>
      <c r="L178" s="24" t="str">
        <f aca="false">IF(I178="Incorrect",IF(H178="Incorrect","TP","FN"),IF(H178="Incorrect","FP","TN"))</f>
        <v>FN</v>
      </c>
      <c r="M178" s="24" t="n">
        <f aca="false">IF(H178=I178,1,0)</f>
        <v>0</v>
      </c>
      <c r="N178" s="24" t="n">
        <f aca="false">IF(G178=I178,1,0)</f>
        <v>0</v>
      </c>
      <c r="O178" s="24" t="n">
        <f aca="false">IF(H178=K178,1,0)</f>
        <v>0</v>
      </c>
      <c r="P178" s="27" t="s">
        <v>88</v>
      </c>
      <c r="Q178" s="24" t="s">
        <v>85</v>
      </c>
    </row>
    <row r="179" customFormat="false" ht="15" hidden="false" customHeight="false" outlineLevel="0" collapsed="false">
      <c r="A179" s="11" t="s">
        <v>57</v>
      </c>
      <c r="B179" s="11" t="s">
        <v>32</v>
      </c>
      <c r="C179" s="11" t="n">
        <v>3</v>
      </c>
      <c r="D179" s="11" t="n">
        <v>8</v>
      </c>
      <c r="E179" s="25" t="n">
        <v>98.8</v>
      </c>
      <c r="F179" s="25" t="n">
        <v>20.3</v>
      </c>
      <c r="G179" s="11" t="s">
        <v>77</v>
      </c>
      <c r="H179" s="24" t="str">
        <f aca="false">IF(B179="Squat",IF(AND(E179&lt;=Summary!$B$7,OR(F179="",F179&lt;=Summary!$B$8)),"Correct","Incorrect"),IF(AND(E179&lt;=Summary!$B$9,OR(F179="",F179&gt;=Summary!$B$10)),"Correct","Incorrect"))</f>
        <v>Incorrect</v>
      </c>
      <c r="I179" s="26" t="s">
        <v>77</v>
      </c>
      <c r="J179" s="11" t="s">
        <v>78</v>
      </c>
      <c r="K179" s="24" t="str">
        <f aca="false">IF(J179="Yes",IF(I179="Correct","Incorrect","Correct"),I179)</f>
        <v>Incorrect</v>
      </c>
      <c r="L179" s="24" t="str">
        <f aca="false">IF(I179="Incorrect",IF(H179="Incorrect","TP","FN"),IF(H179="Incorrect","FP","TN"))</f>
        <v>TP</v>
      </c>
      <c r="M179" s="24" t="n">
        <f aca="false">IF(H179=I179,1,0)</f>
        <v>1</v>
      </c>
      <c r="N179" s="24" t="n">
        <f aca="false">IF(G179=I179,1,0)</f>
        <v>1</v>
      </c>
      <c r="O179" s="24" t="n">
        <f aca="false">IF(H179=K179,1,0)</f>
        <v>1</v>
      </c>
      <c r="P179" s="24"/>
      <c r="Q179" s="24" t="s">
        <v>85</v>
      </c>
    </row>
    <row r="180" customFormat="false" ht="15" hidden="false" customHeight="false" outlineLevel="0" collapsed="false">
      <c r="A180" s="11" t="s">
        <v>57</v>
      </c>
      <c r="B180" s="11" t="s">
        <v>32</v>
      </c>
      <c r="C180" s="11" t="n">
        <v>3</v>
      </c>
      <c r="D180" s="11" t="n">
        <v>9</v>
      </c>
      <c r="E180" s="25" t="n">
        <v>89.4</v>
      </c>
      <c r="F180" s="25" t="n">
        <v>22.9</v>
      </c>
      <c r="G180" s="11" t="s">
        <v>77</v>
      </c>
      <c r="H180" s="24" t="str">
        <f aca="false">IF(B180="Squat",IF(AND(E180&lt;=Summary!$B$7,OR(F180="",F180&lt;=Summary!$B$8)),"Correct","Incorrect"),IF(AND(E180&lt;=Summary!$B$9,OR(F180="",F180&gt;=Summary!$B$10)),"Correct","Incorrect"))</f>
        <v>Incorrect</v>
      </c>
      <c r="I180" s="26" t="s">
        <v>77</v>
      </c>
      <c r="J180" s="11" t="s">
        <v>78</v>
      </c>
      <c r="K180" s="24" t="str">
        <f aca="false">IF(J180="Yes",IF(I180="Correct","Incorrect","Correct"),I180)</f>
        <v>Incorrect</v>
      </c>
      <c r="L180" s="24" t="str">
        <f aca="false">IF(I180="Incorrect",IF(H180="Incorrect","TP","FN"),IF(H180="Incorrect","FP","TN"))</f>
        <v>TP</v>
      </c>
      <c r="M180" s="24" t="n">
        <f aca="false">IF(H180=I180,1,0)</f>
        <v>1</v>
      </c>
      <c r="N180" s="24" t="n">
        <f aca="false">IF(G180=I180,1,0)</f>
        <v>1</v>
      </c>
      <c r="O180" s="24" t="n">
        <f aca="false">IF(H180=K180,1,0)</f>
        <v>1</v>
      </c>
      <c r="P180" s="24"/>
      <c r="Q180" s="24" t="s">
        <v>85</v>
      </c>
    </row>
    <row r="181" customFormat="false" ht="15" hidden="false" customHeight="false" outlineLevel="0" collapsed="false">
      <c r="A181" s="11" t="s">
        <v>57</v>
      </c>
      <c r="B181" s="11" t="s">
        <v>32</v>
      </c>
      <c r="C181" s="11" t="n">
        <v>3</v>
      </c>
      <c r="D181" s="11" t="n">
        <v>10</v>
      </c>
      <c r="E181" s="25" t="n">
        <v>95.7</v>
      </c>
      <c r="F181" s="25" t="n">
        <v>20.9</v>
      </c>
      <c r="G181" s="11" t="s">
        <v>77</v>
      </c>
      <c r="H181" s="24" t="str">
        <f aca="false">IF(B181="Squat",IF(AND(E181&lt;=Summary!$B$7,OR(F181="",F181&lt;=Summary!$B$8)),"Correct","Incorrect"),IF(AND(E181&lt;=Summary!$B$9,OR(F181="",F181&gt;=Summary!$B$10)),"Correct","Incorrect"))</f>
        <v>Incorrect</v>
      </c>
      <c r="I181" s="26" t="s">
        <v>77</v>
      </c>
      <c r="J181" s="11" t="s">
        <v>78</v>
      </c>
      <c r="K181" s="24" t="str">
        <f aca="false">IF(J181="Yes",IF(I181="Correct","Incorrect","Correct"),I181)</f>
        <v>Incorrect</v>
      </c>
      <c r="L181" s="24" t="str">
        <f aca="false">IF(I181="Incorrect",IF(H181="Incorrect","TP","FN"),IF(H181="Incorrect","FP","TN"))</f>
        <v>TP</v>
      </c>
      <c r="M181" s="24" t="n">
        <f aca="false">IF(H181=I181,1,0)</f>
        <v>1</v>
      </c>
      <c r="N181" s="24" t="n">
        <f aca="false">IF(G181=I181,1,0)</f>
        <v>1</v>
      </c>
      <c r="O181" s="24" t="n">
        <f aca="false">IF(H181=K181,1,0)</f>
        <v>1</v>
      </c>
      <c r="P181" s="24"/>
      <c r="Q181" s="24" t="s">
        <v>85</v>
      </c>
    </row>
    <row r="182" customFormat="false" ht="15" hidden="false" customHeight="false" outlineLevel="0" collapsed="false">
      <c r="A182" s="11" t="s">
        <v>58</v>
      </c>
      <c r="B182" s="11" t="s">
        <v>32</v>
      </c>
      <c r="C182" s="11" t="n">
        <v>1</v>
      </c>
      <c r="D182" s="11" t="n">
        <v>1</v>
      </c>
      <c r="E182" s="25" t="n">
        <v>94</v>
      </c>
      <c r="F182" s="25" t="n">
        <v>178.5</v>
      </c>
      <c r="G182" s="11" t="s">
        <v>77</v>
      </c>
      <c r="H182" s="24" t="str">
        <f aca="false">IF(B182="Squat",IF(AND(E182&lt;=Summary!$B$7,OR(F182="",F182&lt;=Summary!$B$8)),"Correct","Incorrect"),IF(AND(E182&lt;=Summary!$B$9,OR(F182="",F182&gt;=Summary!$B$10)),"Correct","Incorrect"))</f>
        <v>Incorrect</v>
      </c>
      <c r="I182" s="26" t="s">
        <v>80</v>
      </c>
      <c r="J182" s="11" t="s">
        <v>78</v>
      </c>
      <c r="K182" s="24" t="str">
        <f aca="false">IF(J182="Yes",IF(I182="Correct","Incorrect","Correct"),I182)</f>
        <v>Correct</v>
      </c>
      <c r="L182" s="24" t="str">
        <f aca="false">IF(I182="Incorrect",IF(H182="Incorrect","TP","FN"),IF(H182="Incorrect","FP","TN"))</f>
        <v>FP</v>
      </c>
      <c r="M182" s="24" t="n">
        <f aca="false">IF(H182=I182,1,0)</f>
        <v>0</v>
      </c>
      <c r="N182" s="24" t="n">
        <f aca="false">IF(G182=I182,1,0)</f>
        <v>0</v>
      </c>
      <c r="O182" s="24" t="n">
        <f aca="false">IF(H182=K182,1,0)</f>
        <v>0</v>
      </c>
      <c r="P182" s="27" t="s">
        <v>89</v>
      </c>
      <c r="Q182" s="24" t="s">
        <v>90</v>
      </c>
    </row>
    <row r="183" customFormat="false" ht="15" hidden="false" customHeight="false" outlineLevel="0" collapsed="false">
      <c r="A183" s="11" t="s">
        <v>58</v>
      </c>
      <c r="B183" s="11" t="s">
        <v>32</v>
      </c>
      <c r="C183" s="11" t="n">
        <v>1</v>
      </c>
      <c r="D183" s="11" t="n">
        <v>2</v>
      </c>
      <c r="E183" s="25" t="n">
        <v>79.9</v>
      </c>
      <c r="F183" s="25" t="n">
        <v>38.8</v>
      </c>
      <c r="G183" s="11" t="s">
        <v>80</v>
      </c>
      <c r="H183" s="24" t="str">
        <f aca="false">IF(B183="Squat",IF(AND(E183&lt;=Summary!$B$7,OR(F183="",F183&lt;=Summary!$B$8)),"Correct","Incorrect"),IF(AND(E183&lt;=Summary!$B$9,OR(F183="",F183&gt;=Summary!$B$10)),"Correct","Incorrect"))</f>
        <v>Correct</v>
      </c>
      <c r="I183" s="26" t="s">
        <v>80</v>
      </c>
      <c r="J183" s="11" t="s">
        <v>78</v>
      </c>
      <c r="K183" s="24" t="str">
        <f aca="false">IF(J183="Yes",IF(I183="Correct","Incorrect","Correct"),I183)</f>
        <v>Correct</v>
      </c>
      <c r="L183" s="24" t="str">
        <f aca="false">IF(I183="Incorrect",IF(H183="Incorrect","TP","FN"),IF(H183="Incorrect","FP","TN"))</f>
        <v>TN</v>
      </c>
      <c r="M183" s="24" t="n">
        <f aca="false">IF(H183=I183,1,0)</f>
        <v>1</v>
      </c>
      <c r="N183" s="24" t="n">
        <f aca="false">IF(G183=I183,1,0)</f>
        <v>1</v>
      </c>
      <c r="O183" s="24" t="n">
        <f aca="false">IF(H183=K183,1,0)</f>
        <v>1</v>
      </c>
      <c r="P183" s="24"/>
      <c r="Q183" s="24" t="s">
        <v>90</v>
      </c>
    </row>
    <row r="184" customFormat="false" ht="15" hidden="false" customHeight="false" outlineLevel="0" collapsed="false">
      <c r="A184" s="11" t="s">
        <v>58</v>
      </c>
      <c r="B184" s="11" t="s">
        <v>32</v>
      </c>
      <c r="C184" s="11" t="n">
        <v>1</v>
      </c>
      <c r="D184" s="11" t="n">
        <v>3</v>
      </c>
      <c r="E184" s="25" t="n">
        <v>70.2</v>
      </c>
      <c r="F184" s="25" t="n">
        <v>32.6</v>
      </c>
      <c r="G184" s="11" t="s">
        <v>80</v>
      </c>
      <c r="H184" s="24" t="str">
        <f aca="false">IF(B184="Squat",IF(AND(E184&lt;=Summary!$B$7,OR(F184="",F184&lt;=Summary!$B$8)),"Correct","Incorrect"),IF(AND(E184&lt;=Summary!$B$9,OR(F184="",F184&gt;=Summary!$B$10)),"Correct","Incorrect"))</f>
        <v>Correct</v>
      </c>
      <c r="I184" s="26" t="s">
        <v>80</v>
      </c>
      <c r="J184" s="11" t="s">
        <v>78</v>
      </c>
      <c r="K184" s="24" t="str">
        <f aca="false">IF(J184="Yes",IF(I184="Correct","Incorrect","Correct"),I184)</f>
        <v>Correct</v>
      </c>
      <c r="L184" s="24" t="str">
        <f aca="false">IF(I184="Incorrect",IF(H184="Incorrect","TP","FN"),IF(H184="Incorrect","FP","TN"))</f>
        <v>TN</v>
      </c>
      <c r="M184" s="24" t="n">
        <f aca="false">IF(H184=I184,1,0)</f>
        <v>1</v>
      </c>
      <c r="N184" s="24" t="n">
        <f aca="false">IF(G184=I184,1,0)</f>
        <v>1</v>
      </c>
      <c r="O184" s="24" t="n">
        <f aca="false">IF(H184=K184,1,0)</f>
        <v>1</v>
      </c>
      <c r="P184" s="24"/>
      <c r="Q184" s="24" t="s">
        <v>90</v>
      </c>
    </row>
    <row r="185" customFormat="false" ht="15" hidden="false" customHeight="false" outlineLevel="0" collapsed="false">
      <c r="A185" s="11" t="s">
        <v>58</v>
      </c>
      <c r="B185" s="11" t="s">
        <v>32</v>
      </c>
      <c r="C185" s="11" t="n">
        <v>1</v>
      </c>
      <c r="D185" s="11" t="n">
        <v>4</v>
      </c>
      <c r="E185" s="25" t="n">
        <v>66.2</v>
      </c>
      <c r="F185" s="25" t="n">
        <v>40.2</v>
      </c>
      <c r="G185" s="11" t="s">
        <v>80</v>
      </c>
      <c r="H185" s="24" t="str">
        <f aca="false">IF(B185="Squat",IF(AND(E185&lt;=Summary!$B$7,OR(F185="",F185&lt;=Summary!$B$8)),"Correct","Incorrect"),IF(AND(E185&lt;=Summary!$B$9,OR(F185="",F185&gt;=Summary!$B$10)),"Correct","Incorrect"))</f>
        <v>Correct</v>
      </c>
      <c r="I185" s="26" t="s">
        <v>80</v>
      </c>
      <c r="J185" s="11" t="s">
        <v>78</v>
      </c>
      <c r="K185" s="24" t="str">
        <f aca="false">IF(J185="Yes",IF(I185="Correct","Incorrect","Correct"),I185)</f>
        <v>Correct</v>
      </c>
      <c r="L185" s="24" t="str">
        <f aca="false">IF(I185="Incorrect",IF(H185="Incorrect","TP","FN"),IF(H185="Incorrect","FP","TN"))</f>
        <v>TN</v>
      </c>
      <c r="M185" s="24" t="n">
        <f aca="false">IF(H185=I185,1,0)</f>
        <v>1</v>
      </c>
      <c r="N185" s="24" t="n">
        <f aca="false">IF(G185=I185,1,0)</f>
        <v>1</v>
      </c>
      <c r="O185" s="24" t="n">
        <f aca="false">IF(H185=K185,1,0)</f>
        <v>1</v>
      </c>
      <c r="P185" s="24"/>
      <c r="Q185" s="24" t="s">
        <v>90</v>
      </c>
    </row>
    <row r="186" customFormat="false" ht="15" hidden="false" customHeight="false" outlineLevel="0" collapsed="false">
      <c r="A186" s="11" t="s">
        <v>58</v>
      </c>
      <c r="B186" s="11" t="s">
        <v>32</v>
      </c>
      <c r="C186" s="11" t="n">
        <v>1</v>
      </c>
      <c r="D186" s="11" t="n">
        <v>5</v>
      </c>
      <c r="E186" s="25" t="n">
        <v>79.2</v>
      </c>
      <c r="F186" s="25" t="n">
        <v>35.6</v>
      </c>
      <c r="G186" s="11" t="s">
        <v>80</v>
      </c>
      <c r="H186" s="24" t="str">
        <f aca="false">IF(B186="Squat",IF(AND(E186&lt;=Summary!$B$7,OR(F186="",F186&lt;=Summary!$B$8)),"Correct","Incorrect"),IF(AND(E186&lt;=Summary!$B$9,OR(F186="",F186&gt;=Summary!$B$10)),"Correct","Incorrect"))</f>
        <v>Correct</v>
      </c>
      <c r="I186" s="26" t="s">
        <v>80</v>
      </c>
      <c r="J186" s="11" t="s">
        <v>78</v>
      </c>
      <c r="K186" s="24" t="str">
        <f aca="false">IF(J186="Yes",IF(I186="Correct","Incorrect","Correct"),I186)</f>
        <v>Correct</v>
      </c>
      <c r="L186" s="24" t="str">
        <f aca="false">IF(I186="Incorrect",IF(H186="Incorrect","TP","FN"),IF(H186="Incorrect","FP","TN"))</f>
        <v>TN</v>
      </c>
      <c r="M186" s="24" t="n">
        <f aca="false">IF(H186=I186,1,0)</f>
        <v>1</v>
      </c>
      <c r="N186" s="24" t="n">
        <f aca="false">IF(G186=I186,1,0)</f>
        <v>1</v>
      </c>
      <c r="O186" s="24" t="n">
        <f aca="false">IF(H186=K186,1,0)</f>
        <v>1</v>
      </c>
      <c r="P186" s="24"/>
      <c r="Q186" s="24" t="s">
        <v>90</v>
      </c>
    </row>
    <row r="187" customFormat="false" ht="15" hidden="false" customHeight="false" outlineLevel="0" collapsed="false">
      <c r="A187" s="11" t="s">
        <v>58</v>
      </c>
      <c r="B187" s="11" t="s">
        <v>32</v>
      </c>
      <c r="C187" s="11" t="n">
        <v>1</v>
      </c>
      <c r="D187" s="11" t="n">
        <v>6</v>
      </c>
      <c r="E187" s="25" t="n">
        <v>77.2</v>
      </c>
      <c r="F187" s="25" t="n">
        <v>35.8</v>
      </c>
      <c r="G187" s="11" t="s">
        <v>80</v>
      </c>
      <c r="H187" s="24" t="str">
        <f aca="false">IF(B187="Squat",IF(AND(E187&lt;=Summary!$B$7,OR(F187="",F187&lt;=Summary!$B$8)),"Correct","Incorrect"),IF(AND(E187&lt;=Summary!$B$9,OR(F187="",F187&gt;=Summary!$B$10)),"Correct","Incorrect"))</f>
        <v>Correct</v>
      </c>
      <c r="I187" s="26" t="s">
        <v>80</v>
      </c>
      <c r="J187" s="11" t="s">
        <v>78</v>
      </c>
      <c r="K187" s="24" t="str">
        <f aca="false">IF(J187="Yes",IF(I187="Correct","Incorrect","Correct"),I187)</f>
        <v>Correct</v>
      </c>
      <c r="L187" s="24" t="str">
        <f aca="false">IF(I187="Incorrect",IF(H187="Incorrect","TP","FN"),IF(H187="Incorrect","FP","TN"))</f>
        <v>TN</v>
      </c>
      <c r="M187" s="24" t="n">
        <f aca="false">IF(H187=I187,1,0)</f>
        <v>1</v>
      </c>
      <c r="N187" s="24" t="n">
        <f aca="false">IF(G187=I187,1,0)</f>
        <v>1</v>
      </c>
      <c r="O187" s="24" t="n">
        <f aca="false">IF(H187=K187,1,0)</f>
        <v>1</v>
      </c>
      <c r="P187" s="24"/>
      <c r="Q187" s="24" t="s">
        <v>90</v>
      </c>
    </row>
    <row r="188" customFormat="false" ht="15" hidden="false" customHeight="false" outlineLevel="0" collapsed="false">
      <c r="A188" s="11" t="s">
        <v>58</v>
      </c>
      <c r="B188" s="11" t="s">
        <v>32</v>
      </c>
      <c r="C188" s="11" t="n">
        <v>1</v>
      </c>
      <c r="D188" s="11" t="n">
        <v>7</v>
      </c>
      <c r="E188" s="25" t="n">
        <v>74.4</v>
      </c>
      <c r="F188" s="25" t="n">
        <v>35.3</v>
      </c>
      <c r="G188" s="11" t="s">
        <v>80</v>
      </c>
      <c r="H188" s="24" t="str">
        <f aca="false">IF(B188="Squat",IF(AND(E188&lt;=Summary!$B$7,OR(F188="",F188&lt;=Summary!$B$8)),"Correct","Incorrect"),IF(AND(E188&lt;=Summary!$B$9,OR(F188="",F188&gt;=Summary!$B$10)),"Correct","Incorrect"))</f>
        <v>Correct</v>
      </c>
      <c r="I188" s="26" t="s">
        <v>80</v>
      </c>
      <c r="J188" s="11" t="s">
        <v>78</v>
      </c>
      <c r="K188" s="24" t="str">
        <f aca="false">IF(J188="Yes",IF(I188="Correct","Incorrect","Correct"),I188)</f>
        <v>Correct</v>
      </c>
      <c r="L188" s="24" t="str">
        <f aca="false">IF(I188="Incorrect",IF(H188="Incorrect","TP","FN"),IF(H188="Incorrect","FP","TN"))</f>
        <v>TN</v>
      </c>
      <c r="M188" s="24" t="n">
        <f aca="false">IF(H188=I188,1,0)</f>
        <v>1</v>
      </c>
      <c r="N188" s="24" t="n">
        <f aca="false">IF(G188=I188,1,0)</f>
        <v>1</v>
      </c>
      <c r="O188" s="24" t="n">
        <f aca="false">IF(H188=K188,1,0)</f>
        <v>1</v>
      </c>
      <c r="P188" s="24"/>
      <c r="Q188" s="24" t="s">
        <v>90</v>
      </c>
    </row>
    <row r="189" customFormat="false" ht="15" hidden="false" customHeight="false" outlineLevel="0" collapsed="false">
      <c r="A189" s="11" t="s">
        <v>58</v>
      </c>
      <c r="B189" s="11" t="s">
        <v>32</v>
      </c>
      <c r="C189" s="11" t="n">
        <v>1</v>
      </c>
      <c r="D189" s="11" t="n">
        <v>8</v>
      </c>
      <c r="E189" s="25" t="n">
        <v>77.2</v>
      </c>
      <c r="F189" s="25" t="n">
        <v>37.1</v>
      </c>
      <c r="G189" s="11" t="s">
        <v>80</v>
      </c>
      <c r="H189" s="24" t="str">
        <f aca="false">IF(B189="Squat",IF(AND(E189&lt;=Summary!$B$7,OR(F189="",F189&lt;=Summary!$B$8)),"Correct","Incorrect"),IF(AND(E189&lt;=Summary!$B$9,OR(F189="",F189&gt;=Summary!$B$10)),"Correct","Incorrect"))</f>
        <v>Correct</v>
      </c>
      <c r="I189" s="26" t="s">
        <v>80</v>
      </c>
      <c r="J189" s="11" t="s">
        <v>78</v>
      </c>
      <c r="K189" s="24" t="str">
        <f aca="false">IF(J189="Yes",IF(I189="Correct","Incorrect","Correct"),I189)</f>
        <v>Correct</v>
      </c>
      <c r="L189" s="24" t="str">
        <f aca="false">IF(I189="Incorrect",IF(H189="Incorrect","TP","FN"),IF(H189="Incorrect","FP","TN"))</f>
        <v>TN</v>
      </c>
      <c r="M189" s="24" t="n">
        <f aca="false">IF(H189=I189,1,0)</f>
        <v>1</v>
      </c>
      <c r="N189" s="24" t="n">
        <f aca="false">IF(G189=I189,1,0)</f>
        <v>1</v>
      </c>
      <c r="O189" s="24" t="n">
        <f aca="false">IF(H189=K189,1,0)</f>
        <v>1</v>
      </c>
      <c r="P189" s="24"/>
      <c r="Q189" s="24" t="s">
        <v>90</v>
      </c>
    </row>
    <row r="190" customFormat="false" ht="15" hidden="false" customHeight="false" outlineLevel="0" collapsed="false">
      <c r="A190" s="11" t="s">
        <v>58</v>
      </c>
      <c r="B190" s="11" t="s">
        <v>32</v>
      </c>
      <c r="C190" s="11" t="n">
        <v>1</v>
      </c>
      <c r="D190" s="11" t="n">
        <v>9</v>
      </c>
      <c r="E190" s="25" t="n">
        <v>76.9</v>
      </c>
      <c r="F190" s="25" t="n">
        <v>37.2</v>
      </c>
      <c r="G190" s="11" t="s">
        <v>80</v>
      </c>
      <c r="H190" s="24" t="str">
        <f aca="false">IF(B190="Squat",IF(AND(E190&lt;=Summary!$B$7,OR(F190="",F190&lt;=Summary!$B$8)),"Correct","Incorrect"),IF(AND(E190&lt;=Summary!$B$9,OR(F190="",F190&gt;=Summary!$B$10)),"Correct","Incorrect"))</f>
        <v>Correct</v>
      </c>
      <c r="I190" s="26" t="s">
        <v>80</v>
      </c>
      <c r="J190" s="11" t="s">
        <v>78</v>
      </c>
      <c r="K190" s="24" t="str">
        <f aca="false">IF(J190="Yes",IF(I190="Correct","Incorrect","Correct"),I190)</f>
        <v>Correct</v>
      </c>
      <c r="L190" s="24" t="str">
        <f aca="false">IF(I190="Incorrect",IF(H190="Incorrect","TP","FN"),IF(H190="Incorrect","FP","TN"))</f>
        <v>TN</v>
      </c>
      <c r="M190" s="24" t="n">
        <f aca="false">IF(H190=I190,1,0)</f>
        <v>1</v>
      </c>
      <c r="N190" s="24" t="n">
        <f aca="false">IF(G190=I190,1,0)</f>
        <v>1</v>
      </c>
      <c r="O190" s="24" t="n">
        <f aca="false">IF(H190=K190,1,0)</f>
        <v>1</v>
      </c>
      <c r="P190" s="24"/>
      <c r="Q190" s="24" t="s">
        <v>90</v>
      </c>
    </row>
    <row r="191" customFormat="false" ht="15" hidden="false" customHeight="false" outlineLevel="0" collapsed="false">
      <c r="A191" s="11" t="s">
        <v>58</v>
      </c>
      <c r="B191" s="11" t="s">
        <v>32</v>
      </c>
      <c r="C191" s="11" t="n">
        <v>1</v>
      </c>
      <c r="D191" s="11" t="n">
        <v>10</v>
      </c>
      <c r="E191" s="25" t="n">
        <v>77</v>
      </c>
      <c r="F191" s="25" t="n">
        <v>36.4</v>
      </c>
      <c r="G191" s="11" t="s">
        <v>80</v>
      </c>
      <c r="H191" s="24" t="str">
        <f aca="false">IF(B191="Squat",IF(AND(E191&lt;=Summary!$B$7,OR(F191="",F191&lt;=Summary!$B$8)),"Correct","Incorrect"),IF(AND(E191&lt;=Summary!$B$9,OR(F191="",F191&gt;=Summary!$B$10)),"Correct","Incorrect"))</f>
        <v>Correct</v>
      </c>
      <c r="I191" s="26" t="s">
        <v>80</v>
      </c>
      <c r="J191" s="11" t="s">
        <v>78</v>
      </c>
      <c r="K191" s="24" t="str">
        <f aca="false">IF(J191="Yes",IF(I191="Correct","Incorrect","Correct"),I191)</f>
        <v>Correct</v>
      </c>
      <c r="L191" s="24" t="str">
        <f aca="false">IF(I191="Incorrect",IF(H191="Incorrect","TP","FN"),IF(H191="Incorrect","FP","TN"))</f>
        <v>TN</v>
      </c>
      <c r="M191" s="24" t="n">
        <f aca="false">IF(H191=I191,1,0)</f>
        <v>1</v>
      </c>
      <c r="N191" s="24" t="n">
        <f aca="false">IF(G191=I191,1,0)</f>
        <v>1</v>
      </c>
      <c r="O191" s="24" t="n">
        <f aca="false">IF(H191=K191,1,0)</f>
        <v>1</v>
      </c>
      <c r="P191" s="24"/>
      <c r="Q191" s="24" t="s">
        <v>90</v>
      </c>
    </row>
    <row r="192" customFormat="false" ht="15" hidden="false" customHeight="false" outlineLevel="0" collapsed="false">
      <c r="A192" s="11" t="s">
        <v>58</v>
      </c>
      <c r="B192" s="11" t="s">
        <v>32</v>
      </c>
      <c r="C192" s="11" t="n">
        <v>2</v>
      </c>
      <c r="D192" s="11" t="n">
        <v>1</v>
      </c>
      <c r="E192" s="25" t="n">
        <v>83.6</v>
      </c>
      <c r="F192" s="25" t="n">
        <v>32.9</v>
      </c>
      <c r="G192" s="11" t="s">
        <v>80</v>
      </c>
      <c r="H192" s="24" t="str">
        <f aca="false">IF(B192="Squat",IF(AND(E192&lt;=Summary!$B$7,OR(F192="",F192&lt;=Summary!$B$8)),"Correct","Incorrect"),IF(AND(E192&lt;=Summary!$B$9,OR(F192="",F192&gt;=Summary!$B$10)),"Correct","Incorrect"))</f>
        <v>Incorrect</v>
      </c>
      <c r="I192" s="26" t="s">
        <v>80</v>
      </c>
      <c r="J192" s="11" t="s">
        <v>78</v>
      </c>
      <c r="K192" s="24" t="str">
        <f aca="false">IF(J192="Yes",IF(I192="Correct","Incorrect","Correct"),I192)</f>
        <v>Correct</v>
      </c>
      <c r="L192" s="24" t="str">
        <f aca="false">IF(I192="Incorrect",IF(H192="Incorrect","TP","FN"),IF(H192="Incorrect","FP","TN"))</f>
        <v>FP</v>
      </c>
      <c r="M192" s="24" t="n">
        <f aca="false">IF(H192=I192,1,0)</f>
        <v>0</v>
      </c>
      <c r="N192" s="24" t="n">
        <f aca="false">IF(G192=I192,1,0)</f>
        <v>1</v>
      </c>
      <c r="O192" s="24" t="n">
        <f aca="false">IF(H192=K192,1,0)</f>
        <v>0</v>
      </c>
      <c r="P192" s="27" t="s">
        <v>91</v>
      </c>
      <c r="Q192" s="24" t="s">
        <v>90</v>
      </c>
    </row>
    <row r="193" customFormat="false" ht="15" hidden="false" customHeight="false" outlineLevel="0" collapsed="false">
      <c r="A193" s="11" t="s">
        <v>58</v>
      </c>
      <c r="B193" s="11" t="s">
        <v>32</v>
      </c>
      <c r="C193" s="11" t="n">
        <v>2</v>
      </c>
      <c r="D193" s="11" t="n">
        <v>2</v>
      </c>
      <c r="E193" s="25" t="n">
        <v>81.2</v>
      </c>
      <c r="F193" s="25" t="n">
        <v>33.2</v>
      </c>
      <c r="G193" s="11" t="s">
        <v>80</v>
      </c>
      <c r="H193" s="24" t="str">
        <f aca="false">IF(B193="Squat",IF(AND(E193&lt;=Summary!$B$7,OR(F193="",F193&lt;=Summary!$B$8)),"Correct","Incorrect"),IF(AND(E193&lt;=Summary!$B$9,OR(F193="",F193&gt;=Summary!$B$10)),"Correct","Incorrect"))</f>
        <v>Incorrect</v>
      </c>
      <c r="I193" s="26" t="s">
        <v>80</v>
      </c>
      <c r="J193" s="11" t="s">
        <v>78</v>
      </c>
      <c r="K193" s="24" t="str">
        <f aca="false">IF(J193="Yes",IF(I193="Correct","Incorrect","Correct"),I193)</f>
        <v>Correct</v>
      </c>
      <c r="L193" s="24" t="str">
        <f aca="false">IF(I193="Incorrect",IF(H193="Incorrect","TP","FN"),IF(H193="Incorrect","FP","TN"))</f>
        <v>FP</v>
      </c>
      <c r="M193" s="24" t="n">
        <f aca="false">IF(H193=I193,1,0)</f>
        <v>0</v>
      </c>
      <c r="N193" s="24" t="n">
        <f aca="false">IF(G193=I193,1,0)</f>
        <v>1</v>
      </c>
      <c r="O193" s="24" t="n">
        <f aca="false">IF(H193=K193,1,0)</f>
        <v>0</v>
      </c>
      <c r="P193" s="27" t="s">
        <v>91</v>
      </c>
      <c r="Q193" s="24" t="s">
        <v>90</v>
      </c>
    </row>
    <row r="194" customFormat="false" ht="15" hidden="false" customHeight="false" outlineLevel="0" collapsed="false">
      <c r="A194" s="11" t="s">
        <v>58</v>
      </c>
      <c r="B194" s="11" t="s">
        <v>32</v>
      </c>
      <c r="C194" s="11" t="n">
        <v>2</v>
      </c>
      <c r="D194" s="11" t="n">
        <v>3</v>
      </c>
      <c r="E194" s="25" t="n">
        <v>79.6</v>
      </c>
      <c r="F194" s="25" t="n">
        <v>34.8</v>
      </c>
      <c r="G194" s="11" t="s">
        <v>80</v>
      </c>
      <c r="H194" s="24" t="str">
        <f aca="false">IF(B194="Squat",IF(AND(E194&lt;=Summary!$B$7,OR(F194="",F194&lt;=Summary!$B$8)),"Correct","Incorrect"),IF(AND(E194&lt;=Summary!$B$9,OR(F194="",F194&gt;=Summary!$B$10)),"Correct","Incorrect"))</f>
        <v>Correct</v>
      </c>
      <c r="I194" s="26" t="s">
        <v>80</v>
      </c>
      <c r="J194" s="11" t="s">
        <v>78</v>
      </c>
      <c r="K194" s="24" t="str">
        <f aca="false">IF(J194="Yes",IF(I194="Correct","Incorrect","Correct"),I194)</f>
        <v>Correct</v>
      </c>
      <c r="L194" s="24" t="str">
        <f aca="false">IF(I194="Incorrect",IF(H194="Incorrect","TP","FN"),IF(H194="Incorrect","FP","TN"))</f>
        <v>TN</v>
      </c>
      <c r="M194" s="24" t="n">
        <f aca="false">IF(H194=I194,1,0)</f>
        <v>1</v>
      </c>
      <c r="N194" s="24" t="n">
        <f aca="false">IF(G194=I194,1,0)</f>
        <v>1</v>
      </c>
      <c r="O194" s="24" t="n">
        <f aca="false">IF(H194=K194,1,0)</f>
        <v>1</v>
      </c>
      <c r="P194" s="24"/>
      <c r="Q194" s="24" t="s">
        <v>90</v>
      </c>
    </row>
    <row r="195" customFormat="false" ht="15" hidden="false" customHeight="false" outlineLevel="0" collapsed="false">
      <c r="A195" s="11" t="s">
        <v>58</v>
      </c>
      <c r="B195" s="11" t="s">
        <v>32</v>
      </c>
      <c r="C195" s="11" t="n">
        <v>2</v>
      </c>
      <c r="D195" s="11" t="n">
        <v>4</v>
      </c>
      <c r="E195" s="25" t="n">
        <v>81.1</v>
      </c>
      <c r="F195" s="25" t="n">
        <v>35.7</v>
      </c>
      <c r="G195" s="11" t="s">
        <v>80</v>
      </c>
      <c r="H195" s="24" t="str">
        <f aca="false">IF(B195="Squat",IF(AND(E195&lt;=Summary!$B$7,OR(F195="",F195&lt;=Summary!$B$8)),"Correct","Incorrect"),IF(AND(E195&lt;=Summary!$B$9,OR(F195="",F195&gt;=Summary!$B$10)),"Correct","Incorrect"))</f>
        <v>Incorrect</v>
      </c>
      <c r="I195" s="26" t="s">
        <v>80</v>
      </c>
      <c r="J195" s="11" t="s">
        <v>78</v>
      </c>
      <c r="K195" s="24" t="str">
        <f aca="false">IF(J195="Yes",IF(I195="Correct","Incorrect","Correct"),I195)</f>
        <v>Correct</v>
      </c>
      <c r="L195" s="24" t="str">
        <f aca="false">IF(I195="Incorrect",IF(H195="Incorrect","TP","FN"),IF(H195="Incorrect","FP","TN"))</f>
        <v>FP</v>
      </c>
      <c r="M195" s="24" t="n">
        <f aca="false">IF(H195=I195,1,0)</f>
        <v>0</v>
      </c>
      <c r="N195" s="24" t="n">
        <f aca="false">IF(G195=I195,1,0)</f>
        <v>1</v>
      </c>
      <c r="O195" s="24" t="n">
        <f aca="false">IF(H195=K195,1,0)</f>
        <v>0</v>
      </c>
      <c r="P195" s="27" t="s">
        <v>91</v>
      </c>
      <c r="Q195" s="24" t="s">
        <v>90</v>
      </c>
    </row>
    <row r="196" customFormat="false" ht="15" hidden="false" customHeight="false" outlineLevel="0" collapsed="false">
      <c r="A196" s="11" t="s">
        <v>58</v>
      </c>
      <c r="B196" s="11" t="s">
        <v>32</v>
      </c>
      <c r="C196" s="11" t="n">
        <v>2</v>
      </c>
      <c r="D196" s="11" t="n">
        <v>5</v>
      </c>
      <c r="E196" s="25" t="n">
        <v>79.6</v>
      </c>
      <c r="F196" s="25" t="n">
        <v>36.4</v>
      </c>
      <c r="G196" s="11" t="s">
        <v>80</v>
      </c>
      <c r="H196" s="24" t="str">
        <f aca="false">IF(B196="Squat",IF(AND(E196&lt;=Summary!$B$7,OR(F196="",F196&lt;=Summary!$B$8)),"Correct","Incorrect"),IF(AND(E196&lt;=Summary!$B$9,OR(F196="",F196&gt;=Summary!$B$10)),"Correct","Incorrect"))</f>
        <v>Correct</v>
      </c>
      <c r="I196" s="26" t="s">
        <v>80</v>
      </c>
      <c r="J196" s="11" t="s">
        <v>78</v>
      </c>
      <c r="K196" s="24" t="str">
        <f aca="false">IF(J196="Yes",IF(I196="Correct","Incorrect","Correct"),I196)</f>
        <v>Correct</v>
      </c>
      <c r="L196" s="24" t="str">
        <f aca="false">IF(I196="Incorrect",IF(H196="Incorrect","TP","FN"),IF(H196="Incorrect","FP","TN"))</f>
        <v>TN</v>
      </c>
      <c r="M196" s="24" t="n">
        <f aca="false">IF(H196=I196,1,0)</f>
        <v>1</v>
      </c>
      <c r="N196" s="24" t="n">
        <f aca="false">IF(G196=I196,1,0)</f>
        <v>1</v>
      </c>
      <c r="O196" s="24" t="n">
        <f aca="false">IF(H196=K196,1,0)</f>
        <v>1</v>
      </c>
      <c r="P196" s="24"/>
      <c r="Q196" s="24" t="s">
        <v>90</v>
      </c>
    </row>
    <row r="197" customFormat="false" ht="15" hidden="false" customHeight="false" outlineLevel="0" collapsed="false">
      <c r="A197" s="11" t="s">
        <v>58</v>
      </c>
      <c r="B197" s="11" t="s">
        <v>32</v>
      </c>
      <c r="C197" s="11" t="n">
        <v>2</v>
      </c>
      <c r="D197" s="11" t="n">
        <v>6</v>
      </c>
      <c r="E197" s="25" t="n">
        <v>77.2</v>
      </c>
      <c r="F197" s="25" t="n">
        <v>34.5</v>
      </c>
      <c r="G197" s="11" t="s">
        <v>80</v>
      </c>
      <c r="H197" s="24" t="str">
        <f aca="false">IF(B197="Squat",IF(AND(E197&lt;=Summary!$B$7,OR(F197="",F197&lt;=Summary!$B$8)),"Correct","Incorrect"),IF(AND(E197&lt;=Summary!$B$9,OR(F197="",F197&gt;=Summary!$B$10)),"Correct","Incorrect"))</f>
        <v>Correct</v>
      </c>
      <c r="I197" s="26" t="s">
        <v>80</v>
      </c>
      <c r="J197" s="11" t="s">
        <v>78</v>
      </c>
      <c r="K197" s="24" t="str">
        <f aca="false">IF(J197="Yes",IF(I197="Correct","Incorrect","Correct"),I197)</f>
        <v>Correct</v>
      </c>
      <c r="L197" s="24" t="str">
        <f aca="false">IF(I197="Incorrect",IF(H197="Incorrect","TP","FN"),IF(H197="Incorrect","FP","TN"))</f>
        <v>TN</v>
      </c>
      <c r="M197" s="24" t="n">
        <f aca="false">IF(H197=I197,1,0)</f>
        <v>1</v>
      </c>
      <c r="N197" s="24" t="n">
        <f aca="false">IF(G197=I197,1,0)</f>
        <v>1</v>
      </c>
      <c r="O197" s="24" t="n">
        <f aca="false">IF(H197=K197,1,0)</f>
        <v>1</v>
      </c>
      <c r="P197" s="24"/>
      <c r="Q197" s="24" t="s">
        <v>90</v>
      </c>
    </row>
    <row r="198" customFormat="false" ht="15" hidden="false" customHeight="false" outlineLevel="0" collapsed="false">
      <c r="A198" s="11" t="s">
        <v>58</v>
      </c>
      <c r="B198" s="11" t="s">
        <v>32</v>
      </c>
      <c r="C198" s="11" t="n">
        <v>2</v>
      </c>
      <c r="D198" s="11" t="n">
        <v>7</v>
      </c>
      <c r="E198" s="25" t="n">
        <v>81.4</v>
      </c>
      <c r="F198" s="25" t="n">
        <v>38.4</v>
      </c>
      <c r="G198" s="11" t="s">
        <v>80</v>
      </c>
      <c r="H198" s="24" t="str">
        <f aca="false">IF(B198="Squat",IF(AND(E198&lt;=Summary!$B$7,OR(F198="",F198&lt;=Summary!$B$8)),"Correct","Incorrect"),IF(AND(E198&lt;=Summary!$B$9,OR(F198="",F198&gt;=Summary!$B$10)),"Correct","Incorrect"))</f>
        <v>Incorrect</v>
      </c>
      <c r="I198" s="26" t="s">
        <v>80</v>
      </c>
      <c r="J198" s="11" t="s">
        <v>78</v>
      </c>
      <c r="K198" s="24" t="str">
        <f aca="false">IF(J198="Yes",IF(I198="Correct","Incorrect","Correct"),I198)</f>
        <v>Correct</v>
      </c>
      <c r="L198" s="24" t="str">
        <f aca="false">IF(I198="Incorrect",IF(H198="Incorrect","TP","FN"),IF(H198="Incorrect","FP","TN"))</f>
        <v>FP</v>
      </c>
      <c r="M198" s="24" t="n">
        <f aca="false">IF(H198=I198,1,0)</f>
        <v>0</v>
      </c>
      <c r="N198" s="24" t="n">
        <f aca="false">IF(G198=I198,1,0)</f>
        <v>1</v>
      </c>
      <c r="O198" s="24" t="n">
        <f aca="false">IF(H198=K198,1,0)</f>
        <v>0</v>
      </c>
      <c r="P198" s="27" t="s">
        <v>91</v>
      </c>
      <c r="Q198" s="24" t="s">
        <v>90</v>
      </c>
    </row>
    <row r="199" customFormat="false" ht="15" hidden="false" customHeight="false" outlineLevel="0" collapsed="false">
      <c r="A199" s="11" t="s">
        <v>58</v>
      </c>
      <c r="B199" s="11" t="s">
        <v>32</v>
      </c>
      <c r="C199" s="11" t="n">
        <v>2</v>
      </c>
      <c r="D199" s="11" t="n">
        <v>8</v>
      </c>
      <c r="E199" s="25" t="n">
        <v>72.3</v>
      </c>
      <c r="F199" s="25" t="n">
        <v>32.8</v>
      </c>
      <c r="G199" s="11" t="s">
        <v>80</v>
      </c>
      <c r="H199" s="24" t="str">
        <f aca="false">IF(B199="Squat",IF(AND(E199&lt;=Summary!$B$7,OR(F199="",F199&lt;=Summary!$B$8)),"Correct","Incorrect"),IF(AND(E199&lt;=Summary!$B$9,OR(F199="",F199&gt;=Summary!$B$10)),"Correct","Incorrect"))</f>
        <v>Correct</v>
      </c>
      <c r="I199" s="26" t="s">
        <v>80</v>
      </c>
      <c r="J199" s="11" t="s">
        <v>78</v>
      </c>
      <c r="K199" s="24" t="str">
        <f aca="false">IF(J199="Yes",IF(I199="Correct","Incorrect","Correct"),I199)</f>
        <v>Correct</v>
      </c>
      <c r="L199" s="24" t="str">
        <f aca="false">IF(I199="Incorrect",IF(H199="Incorrect","TP","FN"),IF(H199="Incorrect","FP","TN"))</f>
        <v>TN</v>
      </c>
      <c r="M199" s="24" t="n">
        <f aca="false">IF(H199=I199,1,0)</f>
        <v>1</v>
      </c>
      <c r="N199" s="24" t="n">
        <f aca="false">IF(G199=I199,1,0)</f>
        <v>1</v>
      </c>
      <c r="O199" s="24" t="n">
        <f aca="false">IF(H199=K199,1,0)</f>
        <v>1</v>
      </c>
      <c r="P199" s="24"/>
      <c r="Q199" s="24" t="s">
        <v>90</v>
      </c>
    </row>
    <row r="200" customFormat="false" ht="15" hidden="false" customHeight="false" outlineLevel="0" collapsed="false">
      <c r="A200" s="11" t="s">
        <v>58</v>
      </c>
      <c r="B200" s="11" t="s">
        <v>32</v>
      </c>
      <c r="C200" s="11" t="n">
        <v>2</v>
      </c>
      <c r="D200" s="11" t="n">
        <v>9</v>
      </c>
      <c r="E200" s="25" t="n">
        <v>79.5</v>
      </c>
      <c r="F200" s="25" t="n">
        <v>33.6</v>
      </c>
      <c r="G200" s="11" t="s">
        <v>80</v>
      </c>
      <c r="H200" s="24" t="str">
        <f aca="false">IF(B200="Squat",IF(AND(E200&lt;=Summary!$B$7,OR(F200="",F200&lt;=Summary!$B$8)),"Correct","Incorrect"),IF(AND(E200&lt;=Summary!$B$9,OR(F200="",F200&gt;=Summary!$B$10)),"Correct","Incorrect"))</f>
        <v>Correct</v>
      </c>
      <c r="I200" s="26" t="s">
        <v>80</v>
      </c>
      <c r="J200" s="11" t="s">
        <v>78</v>
      </c>
      <c r="K200" s="24" t="str">
        <f aca="false">IF(J200="Yes",IF(I200="Correct","Incorrect","Correct"),I200)</f>
        <v>Correct</v>
      </c>
      <c r="L200" s="24" t="str">
        <f aca="false">IF(I200="Incorrect",IF(H200="Incorrect","TP","FN"),IF(H200="Incorrect","FP","TN"))</f>
        <v>TN</v>
      </c>
      <c r="M200" s="24" t="n">
        <f aca="false">IF(H200=I200,1,0)</f>
        <v>1</v>
      </c>
      <c r="N200" s="24" t="n">
        <f aca="false">IF(G200=I200,1,0)</f>
        <v>1</v>
      </c>
      <c r="O200" s="24" t="n">
        <f aca="false">IF(H200=K200,1,0)</f>
        <v>1</v>
      </c>
      <c r="P200" s="24"/>
      <c r="Q200" s="24" t="s">
        <v>90</v>
      </c>
    </row>
    <row r="201" customFormat="false" ht="15" hidden="false" customHeight="false" outlineLevel="0" collapsed="false">
      <c r="A201" s="11" t="s">
        <v>58</v>
      </c>
      <c r="B201" s="11" t="s">
        <v>32</v>
      </c>
      <c r="C201" s="11" t="n">
        <v>2</v>
      </c>
      <c r="D201" s="11" t="n">
        <v>10</v>
      </c>
      <c r="E201" s="25" t="n">
        <v>79</v>
      </c>
      <c r="F201" s="25" t="n">
        <v>33.4</v>
      </c>
      <c r="G201" s="11" t="s">
        <v>80</v>
      </c>
      <c r="H201" s="24" t="str">
        <f aca="false">IF(B201="Squat",IF(AND(E201&lt;=Summary!$B$7,OR(F201="",F201&lt;=Summary!$B$8)),"Correct","Incorrect"),IF(AND(E201&lt;=Summary!$B$9,OR(F201="",F201&gt;=Summary!$B$10)),"Correct","Incorrect"))</f>
        <v>Correct</v>
      </c>
      <c r="I201" s="26" t="s">
        <v>80</v>
      </c>
      <c r="J201" s="11" t="s">
        <v>78</v>
      </c>
      <c r="K201" s="24" t="str">
        <f aca="false">IF(J201="Yes",IF(I201="Correct","Incorrect","Correct"),I201)</f>
        <v>Correct</v>
      </c>
      <c r="L201" s="24" t="str">
        <f aca="false">IF(I201="Incorrect",IF(H201="Incorrect","TP","FN"),IF(H201="Incorrect","FP","TN"))</f>
        <v>TN</v>
      </c>
      <c r="M201" s="24" t="n">
        <f aca="false">IF(H201=I201,1,0)</f>
        <v>1</v>
      </c>
      <c r="N201" s="24" t="n">
        <f aca="false">IF(G201=I201,1,0)</f>
        <v>1</v>
      </c>
      <c r="O201" s="24" t="n">
        <f aca="false">IF(H201=K201,1,0)</f>
        <v>1</v>
      </c>
      <c r="P201" s="24"/>
      <c r="Q201" s="24" t="s">
        <v>90</v>
      </c>
    </row>
    <row r="202" customFormat="false" ht="15" hidden="false" customHeight="false" outlineLevel="0" collapsed="false">
      <c r="A202" s="11" t="s">
        <v>58</v>
      </c>
      <c r="B202" s="11" t="s">
        <v>32</v>
      </c>
      <c r="C202" s="11" t="n">
        <v>3</v>
      </c>
      <c r="D202" s="11" t="n">
        <v>1</v>
      </c>
      <c r="E202" s="25" t="n">
        <v>63.9</v>
      </c>
      <c r="F202" s="25" t="n">
        <v>41.6</v>
      </c>
      <c r="G202" s="11" t="s">
        <v>80</v>
      </c>
      <c r="H202" s="24" t="str">
        <f aca="false">IF(B202="Squat",IF(AND(E202&lt;=Summary!$B$7,OR(F202="",F202&lt;=Summary!$B$8)),"Correct","Incorrect"),IF(AND(E202&lt;=Summary!$B$9,OR(F202="",F202&gt;=Summary!$B$10)),"Correct","Incorrect"))</f>
        <v>Correct</v>
      </c>
      <c r="I202" s="26" t="s">
        <v>77</v>
      </c>
      <c r="J202" s="11" t="s">
        <v>78</v>
      </c>
      <c r="K202" s="24" t="str">
        <f aca="false">IF(J202="Yes",IF(I202="Correct","Incorrect","Correct"),I202)</f>
        <v>Incorrect</v>
      </c>
      <c r="L202" s="24" t="str">
        <f aca="false">IF(I202="Incorrect",IF(H202="Incorrect","TP","FN"),IF(H202="Incorrect","FP","TN"))</f>
        <v>FN</v>
      </c>
      <c r="M202" s="24" t="n">
        <f aca="false">IF(H202=I202,1,0)</f>
        <v>0</v>
      </c>
      <c r="N202" s="24" t="n">
        <f aca="false">IF(G202=I202,1,0)</f>
        <v>0</v>
      </c>
      <c r="O202" s="24" t="n">
        <f aca="false">IF(H202=K202,1,0)</f>
        <v>0</v>
      </c>
      <c r="P202" s="27" t="s">
        <v>88</v>
      </c>
      <c r="Q202" s="24" t="s">
        <v>90</v>
      </c>
    </row>
    <row r="203" customFormat="false" ht="15" hidden="false" customHeight="false" outlineLevel="0" collapsed="false">
      <c r="A203" s="11" t="s">
        <v>58</v>
      </c>
      <c r="B203" s="11" t="s">
        <v>32</v>
      </c>
      <c r="C203" s="11" t="n">
        <v>3</v>
      </c>
      <c r="D203" s="11" t="n">
        <v>2</v>
      </c>
      <c r="E203" s="25" t="n">
        <v>63.9</v>
      </c>
      <c r="F203" s="25" t="n">
        <v>39.8</v>
      </c>
      <c r="G203" s="11" t="s">
        <v>80</v>
      </c>
      <c r="H203" s="24" t="str">
        <f aca="false">IF(B203="Squat",IF(AND(E203&lt;=Summary!$B$7,OR(F203="",F203&lt;=Summary!$B$8)),"Correct","Incorrect"),IF(AND(E203&lt;=Summary!$B$9,OR(F203="",F203&gt;=Summary!$B$10)),"Correct","Incorrect"))</f>
        <v>Correct</v>
      </c>
      <c r="I203" s="26" t="s">
        <v>77</v>
      </c>
      <c r="J203" s="11" t="s">
        <v>78</v>
      </c>
      <c r="K203" s="24" t="str">
        <f aca="false">IF(J203="Yes",IF(I203="Correct","Incorrect","Correct"),I203)</f>
        <v>Incorrect</v>
      </c>
      <c r="L203" s="24" t="str">
        <f aca="false">IF(I203="Incorrect",IF(H203="Incorrect","TP","FN"),IF(H203="Incorrect","FP","TN"))</f>
        <v>FN</v>
      </c>
      <c r="M203" s="24" t="n">
        <f aca="false">IF(H203=I203,1,0)</f>
        <v>0</v>
      </c>
      <c r="N203" s="24" t="n">
        <f aca="false">IF(G203=I203,1,0)</f>
        <v>0</v>
      </c>
      <c r="O203" s="24" t="n">
        <f aca="false">IF(H203=K203,1,0)</f>
        <v>0</v>
      </c>
      <c r="P203" s="27" t="s">
        <v>88</v>
      </c>
      <c r="Q203" s="24" t="s">
        <v>90</v>
      </c>
    </row>
    <row r="204" customFormat="false" ht="15" hidden="false" customHeight="false" outlineLevel="0" collapsed="false">
      <c r="A204" s="11" t="s">
        <v>58</v>
      </c>
      <c r="B204" s="11" t="s">
        <v>32</v>
      </c>
      <c r="C204" s="11" t="n">
        <v>3</v>
      </c>
      <c r="D204" s="11" t="n">
        <v>3</v>
      </c>
      <c r="E204" s="25" t="n">
        <v>104.7</v>
      </c>
      <c r="F204" s="25" t="n">
        <v>19.3</v>
      </c>
      <c r="G204" s="11" t="s">
        <v>77</v>
      </c>
      <c r="H204" s="24" t="str">
        <f aca="false">IF(B204="Squat",IF(AND(E204&lt;=Summary!$B$7,OR(F204="",F204&lt;=Summary!$B$8)),"Correct","Incorrect"),IF(AND(E204&lt;=Summary!$B$9,OR(F204="",F204&gt;=Summary!$B$10)),"Correct","Incorrect"))</f>
        <v>Incorrect</v>
      </c>
      <c r="I204" s="26" t="s">
        <v>77</v>
      </c>
      <c r="J204" s="11" t="s">
        <v>78</v>
      </c>
      <c r="K204" s="24" t="str">
        <f aca="false">IF(J204="Yes",IF(I204="Correct","Incorrect","Correct"),I204)</f>
        <v>Incorrect</v>
      </c>
      <c r="L204" s="24" t="str">
        <f aca="false">IF(I204="Incorrect",IF(H204="Incorrect","TP","FN"),IF(H204="Incorrect","FP","TN"))</f>
        <v>TP</v>
      </c>
      <c r="M204" s="24" t="n">
        <f aca="false">IF(H204=I204,1,0)</f>
        <v>1</v>
      </c>
      <c r="N204" s="24" t="n">
        <f aca="false">IF(G204=I204,1,0)</f>
        <v>1</v>
      </c>
      <c r="O204" s="24" t="n">
        <f aca="false">IF(H204=K204,1,0)</f>
        <v>1</v>
      </c>
      <c r="P204" s="24"/>
      <c r="Q204" s="24" t="s">
        <v>90</v>
      </c>
    </row>
    <row r="205" customFormat="false" ht="15" hidden="false" customHeight="false" outlineLevel="0" collapsed="false">
      <c r="A205" s="11" t="s">
        <v>58</v>
      </c>
      <c r="B205" s="11" t="s">
        <v>32</v>
      </c>
      <c r="C205" s="11" t="n">
        <v>3</v>
      </c>
      <c r="D205" s="11" t="n">
        <v>4</v>
      </c>
      <c r="E205" s="25" t="n">
        <v>104.6</v>
      </c>
      <c r="F205" s="25" t="n">
        <v>19.7</v>
      </c>
      <c r="G205" s="11" t="s">
        <v>77</v>
      </c>
      <c r="H205" s="24" t="str">
        <f aca="false">IF(B205="Squat",IF(AND(E205&lt;=Summary!$B$7,OR(F205="",F205&lt;=Summary!$B$8)),"Correct","Incorrect"),IF(AND(E205&lt;=Summary!$B$9,OR(F205="",F205&gt;=Summary!$B$10)),"Correct","Incorrect"))</f>
        <v>Incorrect</v>
      </c>
      <c r="I205" s="26" t="s">
        <v>77</v>
      </c>
      <c r="J205" s="11" t="s">
        <v>78</v>
      </c>
      <c r="K205" s="24" t="str">
        <f aca="false">IF(J205="Yes",IF(I205="Correct","Incorrect","Correct"),I205)</f>
        <v>Incorrect</v>
      </c>
      <c r="L205" s="24" t="str">
        <f aca="false">IF(I205="Incorrect",IF(H205="Incorrect","TP","FN"),IF(H205="Incorrect","FP","TN"))</f>
        <v>TP</v>
      </c>
      <c r="M205" s="24" t="n">
        <f aca="false">IF(H205=I205,1,0)</f>
        <v>1</v>
      </c>
      <c r="N205" s="24" t="n">
        <f aca="false">IF(G205=I205,1,0)</f>
        <v>1</v>
      </c>
      <c r="O205" s="24" t="n">
        <f aca="false">IF(H205=K205,1,0)</f>
        <v>1</v>
      </c>
      <c r="P205" s="24"/>
      <c r="Q205" s="24" t="s">
        <v>90</v>
      </c>
    </row>
    <row r="206" customFormat="false" ht="15" hidden="false" customHeight="false" outlineLevel="0" collapsed="false">
      <c r="A206" s="11" t="s">
        <v>58</v>
      </c>
      <c r="B206" s="11" t="s">
        <v>32</v>
      </c>
      <c r="C206" s="11" t="n">
        <v>3</v>
      </c>
      <c r="D206" s="11" t="n">
        <v>5</v>
      </c>
      <c r="E206" s="25" t="n">
        <v>109</v>
      </c>
      <c r="F206" s="25" t="n">
        <v>14.8</v>
      </c>
      <c r="G206" s="11" t="s">
        <v>77</v>
      </c>
      <c r="H206" s="24" t="str">
        <f aca="false">IF(B206="Squat",IF(AND(E206&lt;=Summary!$B$7,OR(F206="",F206&lt;=Summary!$B$8)),"Correct","Incorrect"),IF(AND(E206&lt;=Summary!$B$9,OR(F206="",F206&gt;=Summary!$B$10)),"Correct","Incorrect"))</f>
        <v>Incorrect</v>
      </c>
      <c r="I206" s="26" t="s">
        <v>77</v>
      </c>
      <c r="J206" s="11" t="s">
        <v>78</v>
      </c>
      <c r="K206" s="24" t="str">
        <f aca="false">IF(J206="Yes",IF(I206="Correct","Incorrect","Correct"),I206)</f>
        <v>Incorrect</v>
      </c>
      <c r="L206" s="24" t="str">
        <f aca="false">IF(I206="Incorrect",IF(H206="Incorrect","TP","FN"),IF(H206="Incorrect","FP","TN"))</f>
        <v>TP</v>
      </c>
      <c r="M206" s="24" t="n">
        <f aca="false">IF(H206=I206,1,0)</f>
        <v>1</v>
      </c>
      <c r="N206" s="24" t="n">
        <f aca="false">IF(G206=I206,1,0)</f>
        <v>1</v>
      </c>
      <c r="O206" s="24" t="n">
        <f aca="false">IF(H206=K206,1,0)</f>
        <v>1</v>
      </c>
      <c r="P206" s="24"/>
      <c r="Q206" s="24" t="s">
        <v>90</v>
      </c>
    </row>
    <row r="207" customFormat="false" ht="15" hidden="false" customHeight="false" outlineLevel="0" collapsed="false">
      <c r="A207" s="11" t="s">
        <v>58</v>
      </c>
      <c r="B207" s="11" t="s">
        <v>32</v>
      </c>
      <c r="C207" s="11" t="n">
        <v>3</v>
      </c>
      <c r="D207" s="11" t="n">
        <v>6</v>
      </c>
      <c r="E207" s="25" t="n">
        <v>41.1</v>
      </c>
      <c r="F207" s="25" t="n">
        <v>37.2</v>
      </c>
      <c r="G207" s="11" t="s">
        <v>80</v>
      </c>
      <c r="H207" s="24" t="str">
        <f aca="false">IF(B207="Squat",IF(AND(E207&lt;=Summary!$B$7,OR(F207="",F207&lt;=Summary!$B$8)),"Correct","Incorrect"),IF(AND(E207&lt;=Summary!$B$9,OR(F207="",F207&gt;=Summary!$B$10)),"Correct","Incorrect"))</f>
        <v>Correct</v>
      </c>
      <c r="I207" s="26" t="s">
        <v>77</v>
      </c>
      <c r="J207" s="11" t="s">
        <v>78</v>
      </c>
      <c r="K207" s="24" t="str">
        <f aca="false">IF(J207="Yes",IF(I207="Correct","Incorrect","Correct"),I207)</f>
        <v>Incorrect</v>
      </c>
      <c r="L207" s="24" t="str">
        <f aca="false">IF(I207="Incorrect",IF(H207="Incorrect","TP","FN"),IF(H207="Incorrect","FP","TN"))</f>
        <v>FN</v>
      </c>
      <c r="M207" s="24" t="n">
        <f aca="false">IF(H207=I207,1,0)</f>
        <v>0</v>
      </c>
      <c r="N207" s="24" t="n">
        <f aca="false">IF(G207=I207,1,0)</f>
        <v>0</v>
      </c>
      <c r="O207" s="24" t="n">
        <f aca="false">IF(H207=K207,1,0)</f>
        <v>0</v>
      </c>
      <c r="P207" s="27" t="s">
        <v>88</v>
      </c>
      <c r="Q207" s="24" t="s">
        <v>90</v>
      </c>
    </row>
    <row r="208" customFormat="false" ht="15" hidden="false" customHeight="false" outlineLevel="0" collapsed="false">
      <c r="A208" s="11" t="s">
        <v>58</v>
      </c>
      <c r="B208" s="11" t="s">
        <v>32</v>
      </c>
      <c r="C208" s="11" t="n">
        <v>3</v>
      </c>
      <c r="D208" s="11" t="n">
        <v>7</v>
      </c>
      <c r="E208" s="25" t="n">
        <v>107.1</v>
      </c>
      <c r="F208" s="25" t="n">
        <v>18.4</v>
      </c>
      <c r="G208" s="11" t="s">
        <v>77</v>
      </c>
      <c r="H208" s="24" t="str">
        <f aca="false">IF(B208="Squat",IF(AND(E208&lt;=Summary!$B$7,OR(F208="",F208&lt;=Summary!$B$8)),"Correct","Incorrect"),IF(AND(E208&lt;=Summary!$B$9,OR(F208="",F208&gt;=Summary!$B$10)),"Correct","Incorrect"))</f>
        <v>Incorrect</v>
      </c>
      <c r="I208" s="26" t="s">
        <v>77</v>
      </c>
      <c r="J208" s="11" t="s">
        <v>78</v>
      </c>
      <c r="K208" s="24" t="str">
        <f aca="false">IF(J208="Yes",IF(I208="Correct","Incorrect","Correct"),I208)</f>
        <v>Incorrect</v>
      </c>
      <c r="L208" s="24" t="str">
        <f aca="false">IF(I208="Incorrect",IF(H208="Incorrect","TP","FN"),IF(H208="Incorrect","FP","TN"))</f>
        <v>TP</v>
      </c>
      <c r="M208" s="24" t="n">
        <f aca="false">IF(H208=I208,1,0)</f>
        <v>1</v>
      </c>
      <c r="N208" s="24" t="n">
        <f aca="false">IF(G208=I208,1,0)</f>
        <v>1</v>
      </c>
      <c r="O208" s="24" t="n">
        <f aca="false">IF(H208=K208,1,0)</f>
        <v>1</v>
      </c>
      <c r="P208" s="24"/>
      <c r="Q208" s="24" t="s">
        <v>90</v>
      </c>
    </row>
    <row r="209" customFormat="false" ht="15" hidden="false" customHeight="false" outlineLevel="0" collapsed="false">
      <c r="A209" s="11" t="s">
        <v>58</v>
      </c>
      <c r="B209" s="11" t="s">
        <v>32</v>
      </c>
      <c r="C209" s="11" t="n">
        <v>3</v>
      </c>
      <c r="D209" s="11" t="n">
        <v>8</v>
      </c>
      <c r="E209" s="25" t="n">
        <v>103.5</v>
      </c>
      <c r="F209" s="25" t="n">
        <v>21.7</v>
      </c>
      <c r="G209" s="11" t="s">
        <v>77</v>
      </c>
      <c r="H209" s="24" t="str">
        <f aca="false">IF(B209="Squat",IF(AND(E209&lt;=Summary!$B$7,OR(F209="",F209&lt;=Summary!$B$8)),"Correct","Incorrect"),IF(AND(E209&lt;=Summary!$B$9,OR(F209="",F209&gt;=Summary!$B$10)),"Correct","Incorrect"))</f>
        <v>Incorrect</v>
      </c>
      <c r="I209" s="26" t="s">
        <v>77</v>
      </c>
      <c r="J209" s="11" t="s">
        <v>78</v>
      </c>
      <c r="K209" s="24" t="str">
        <f aca="false">IF(J209="Yes",IF(I209="Correct","Incorrect","Correct"),I209)</f>
        <v>Incorrect</v>
      </c>
      <c r="L209" s="24" t="str">
        <f aca="false">IF(I209="Incorrect",IF(H209="Incorrect","TP","FN"),IF(H209="Incorrect","FP","TN"))</f>
        <v>TP</v>
      </c>
      <c r="M209" s="24" t="n">
        <f aca="false">IF(H209=I209,1,0)</f>
        <v>1</v>
      </c>
      <c r="N209" s="24" t="n">
        <f aca="false">IF(G209=I209,1,0)</f>
        <v>1</v>
      </c>
      <c r="O209" s="24" t="n">
        <f aca="false">IF(H209=K209,1,0)</f>
        <v>1</v>
      </c>
      <c r="P209" s="24"/>
      <c r="Q209" s="24" t="s">
        <v>90</v>
      </c>
    </row>
    <row r="210" customFormat="false" ht="15" hidden="false" customHeight="false" outlineLevel="0" collapsed="false">
      <c r="A210" s="11" t="s">
        <v>58</v>
      </c>
      <c r="B210" s="11" t="s">
        <v>32</v>
      </c>
      <c r="C210" s="11" t="n">
        <v>3</v>
      </c>
      <c r="D210" s="11" t="n">
        <v>9</v>
      </c>
      <c r="E210" s="25" t="n">
        <v>103.5</v>
      </c>
      <c r="F210" s="25" t="n">
        <v>20.4</v>
      </c>
      <c r="G210" s="11" t="s">
        <v>77</v>
      </c>
      <c r="H210" s="24" t="str">
        <f aca="false">IF(B210="Squat",IF(AND(E210&lt;=Summary!$B$7,OR(F210="",F210&lt;=Summary!$B$8)),"Correct","Incorrect"),IF(AND(E210&lt;=Summary!$B$9,OR(F210="",F210&gt;=Summary!$B$10)),"Correct","Incorrect"))</f>
        <v>Incorrect</v>
      </c>
      <c r="I210" s="26" t="s">
        <v>77</v>
      </c>
      <c r="J210" s="11" t="s">
        <v>78</v>
      </c>
      <c r="K210" s="24" t="str">
        <f aca="false">IF(J210="Yes",IF(I210="Correct","Incorrect","Correct"),I210)</f>
        <v>Incorrect</v>
      </c>
      <c r="L210" s="24" t="str">
        <f aca="false">IF(I210="Incorrect",IF(H210="Incorrect","TP","FN"),IF(H210="Incorrect","FP","TN"))</f>
        <v>TP</v>
      </c>
      <c r="M210" s="24" t="n">
        <f aca="false">IF(H210=I210,1,0)</f>
        <v>1</v>
      </c>
      <c r="N210" s="24" t="n">
        <f aca="false">IF(G210=I210,1,0)</f>
        <v>1</v>
      </c>
      <c r="O210" s="24" t="n">
        <f aca="false">IF(H210=K210,1,0)</f>
        <v>1</v>
      </c>
      <c r="P210" s="24"/>
      <c r="Q210" s="24" t="s">
        <v>90</v>
      </c>
    </row>
    <row r="211" customFormat="false" ht="15" hidden="false" customHeight="false" outlineLevel="0" collapsed="false">
      <c r="A211" s="11" t="s">
        <v>58</v>
      </c>
      <c r="B211" s="11" t="s">
        <v>32</v>
      </c>
      <c r="C211" s="11" t="n">
        <v>3</v>
      </c>
      <c r="D211" s="11" t="n">
        <v>10</v>
      </c>
      <c r="E211" s="25" t="n">
        <v>106.2</v>
      </c>
      <c r="F211" s="25" t="n">
        <v>21.8</v>
      </c>
      <c r="G211" s="11" t="s">
        <v>77</v>
      </c>
      <c r="H211" s="24" t="str">
        <f aca="false">IF(B211="Squat",IF(AND(E211&lt;=Summary!$B$7,OR(F211="",F211&lt;=Summary!$B$8)),"Correct","Incorrect"),IF(AND(E211&lt;=Summary!$B$9,OR(F211="",F211&gt;=Summary!$B$10)),"Correct","Incorrect"))</f>
        <v>Incorrect</v>
      </c>
      <c r="I211" s="26" t="s">
        <v>77</v>
      </c>
      <c r="J211" s="11" t="s">
        <v>78</v>
      </c>
      <c r="K211" s="24" t="str">
        <f aca="false">IF(J211="Yes",IF(I211="Correct","Incorrect","Correct"),I211)</f>
        <v>Incorrect</v>
      </c>
      <c r="L211" s="24" t="str">
        <f aca="false">IF(I211="Incorrect",IF(H211="Incorrect","TP","FN"),IF(H211="Incorrect","FP","TN"))</f>
        <v>TP</v>
      </c>
      <c r="M211" s="24" t="n">
        <f aca="false">IF(H211=I211,1,0)</f>
        <v>1</v>
      </c>
      <c r="N211" s="24" t="n">
        <f aca="false">IF(G211=I211,1,0)</f>
        <v>1</v>
      </c>
      <c r="O211" s="24" t="n">
        <f aca="false">IF(H211=K211,1,0)</f>
        <v>1</v>
      </c>
      <c r="P211" s="27" t="s">
        <v>92</v>
      </c>
      <c r="Q211" s="24" t="s">
        <v>90</v>
      </c>
    </row>
    <row r="212" customFormat="false" ht="15" hidden="false" customHeight="false" outlineLevel="0" collapsed="false">
      <c r="A212" s="11" t="s">
        <v>59</v>
      </c>
      <c r="B212" s="11" t="s">
        <v>32</v>
      </c>
      <c r="C212" s="11" t="n">
        <v>1</v>
      </c>
      <c r="D212" s="11" t="n">
        <v>1</v>
      </c>
      <c r="E212" s="25" t="n">
        <v>81.1</v>
      </c>
      <c r="F212" s="25" t="n">
        <v>35.1</v>
      </c>
      <c r="G212" s="11" t="s">
        <v>77</v>
      </c>
      <c r="H212" s="24" t="str">
        <f aca="false">IF(B212="Squat",IF(AND(E212&lt;=Summary!$B$7,OR(F212="",F212&lt;=Summary!$B$8)),"Correct","Incorrect"),IF(AND(E212&lt;=Summary!$B$9,OR(F212="",F212&gt;=Summary!$B$10)),"Correct","Incorrect"))</f>
        <v>Incorrect</v>
      </c>
      <c r="I212" s="26" t="s">
        <v>77</v>
      </c>
      <c r="J212" s="11" t="s">
        <v>86</v>
      </c>
      <c r="K212" s="24" t="str">
        <f aca="false">IF(J212="Yes",IF(I212="Correct","Incorrect","Correct"),I212)</f>
        <v>Correct</v>
      </c>
      <c r="L212" s="24" t="str">
        <f aca="false">IF(I212="Incorrect",IF(H212="Incorrect","TP","FN"),IF(H212="Incorrect","FP","TN"))</f>
        <v>TP</v>
      </c>
      <c r="M212" s="24" t="n">
        <f aca="false">IF(H212=I212,1,0)</f>
        <v>1</v>
      </c>
      <c r="N212" s="24" t="n">
        <f aca="false">IF(G212=I212,1,0)</f>
        <v>1</v>
      </c>
      <c r="O212" s="24" t="n">
        <f aca="false">IF(H212=K212,1,0)</f>
        <v>0</v>
      </c>
      <c r="P212" s="27" t="s">
        <v>87</v>
      </c>
      <c r="Q212" s="24" t="s">
        <v>93</v>
      </c>
    </row>
    <row r="213" customFormat="false" ht="15" hidden="false" customHeight="false" outlineLevel="0" collapsed="false">
      <c r="A213" s="11" t="s">
        <v>59</v>
      </c>
      <c r="B213" s="11" t="s">
        <v>32</v>
      </c>
      <c r="C213" s="11" t="n">
        <v>1</v>
      </c>
      <c r="D213" s="11" t="n">
        <v>2</v>
      </c>
      <c r="E213" s="25" t="n">
        <v>15.8</v>
      </c>
      <c r="F213" s="25" t="n">
        <v>172.4</v>
      </c>
      <c r="G213" s="11" t="s">
        <v>77</v>
      </c>
      <c r="H213" s="24" t="str">
        <f aca="false">IF(B213="Squat",IF(AND(E213&lt;=Summary!$B$7,OR(F213="",F213&lt;=Summary!$B$8)),"Correct","Incorrect"),IF(AND(E213&lt;=Summary!$B$9,OR(F213="",F213&gt;=Summary!$B$10)),"Correct","Incorrect"))</f>
        <v>Incorrect</v>
      </c>
      <c r="I213" s="26" t="s">
        <v>77</v>
      </c>
      <c r="J213" s="11" t="s">
        <v>86</v>
      </c>
      <c r="K213" s="24" t="str">
        <f aca="false">IF(J213="Yes",IF(I213="Correct","Incorrect","Correct"),I213)</f>
        <v>Correct</v>
      </c>
      <c r="L213" s="24" t="str">
        <f aca="false">IF(I213="Incorrect",IF(H213="Incorrect","TP","FN"),IF(H213="Incorrect","FP","TN"))</f>
        <v>TP</v>
      </c>
      <c r="M213" s="24" t="n">
        <f aca="false">IF(H213=I213,1,0)</f>
        <v>1</v>
      </c>
      <c r="N213" s="24" t="n">
        <f aca="false">IF(G213=I213,1,0)</f>
        <v>1</v>
      </c>
      <c r="O213" s="24" t="n">
        <f aca="false">IF(H213=K213,1,0)</f>
        <v>0</v>
      </c>
      <c r="P213" s="27" t="s">
        <v>94</v>
      </c>
      <c r="Q213" s="24" t="s">
        <v>93</v>
      </c>
    </row>
    <row r="214" customFormat="false" ht="15" hidden="false" customHeight="false" outlineLevel="0" collapsed="false">
      <c r="A214" s="11" t="s">
        <v>59</v>
      </c>
      <c r="B214" s="11" t="s">
        <v>32</v>
      </c>
      <c r="C214" s="11" t="n">
        <v>1</v>
      </c>
      <c r="D214" s="11" t="n">
        <v>3</v>
      </c>
      <c r="E214" s="25" t="n">
        <v>83.6</v>
      </c>
      <c r="F214" s="25" t="n">
        <v>32</v>
      </c>
      <c r="G214" s="11" t="s">
        <v>77</v>
      </c>
      <c r="H214" s="24" t="str">
        <f aca="false">IF(B214="Squat",IF(AND(E214&lt;=Summary!$B$7,OR(F214="",F214&lt;=Summary!$B$8)),"Correct","Incorrect"),IF(AND(E214&lt;=Summary!$B$9,OR(F214="",F214&gt;=Summary!$B$10)),"Correct","Incorrect"))</f>
        <v>Incorrect</v>
      </c>
      <c r="I214" s="26" t="s">
        <v>77</v>
      </c>
      <c r="J214" s="11" t="s">
        <v>86</v>
      </c>
      <c r="K214" s="24" t="str">
        <f aca="false">IF(J214="Yes",IF(I214="Correct","Incorrect","Correct"),I214)</f>
        <v>Correct</v>
      </c>
      <c r="L214" s="24" t="str">
        <f aca="false">IF(I214="Incorrect",IF(H214="Incorrect","TP","FN"),IF(H214="Incorrect","FP","TN"))</f>
        <v>TP</v>
      </c>
      <c r="M214" s="24" t="n">
        <f aca="false">IF(H214=I214,1,0)</f>
        <v>1</v>
      </c>
      <c r="N214" s="24" t="n">
        <f aca="false">IF(G214=I214,1,0)</f>
        <v>1</v>
      </c>
      <c r="O214" s="24" t="n">
        <f aca="false">IF(H214=K214,1,0)</f>
        <v>0</v>
      </c>
      <c r="P214" s="27" t="s">
        <v>87</v>
      </c>
      <c r="Q214" s="24" t="s">
        <v>93</v>
      </c>
    </row>
    <row r="215" customFormat="false" ht="15" hidden="false" customHeight="false" outlineLevel="0" collapsed="false">
      <c r="A215" s="11" t="s">
        <v>59</v>
      </c>
      <c r="B215" s="11" t="s">
        <v>32</v>
      </c>
      <c r="C215" s="11" t="n">
        <v>1</v>
      </c>
      <c r="D215" s="11" t="n">
        <v>4</v>
      </c>
      <c r="E215" s="25" t="n">
        <v>69.5</v>
      </c>
      <c r="F215" s="25" t="n">
        <v>31.8</v>
      </c>
      <c r="G215" s="11" t="s">
        <v>80</v>
      </c>
      <c r="H215" s="24" t="str">
        <f aca="false">IF(B215="Squat",IF(AND(E215&lt;=Summary!$B$7,OR(F215="",F215&lt;=Summary!$B$8)),"Correct","Incorrect"),IF(AND(E215&lt;=Summary!$B$9,OR(F215="",F215&gt;=Summary!$B$10)),"Correct","Incorrect"))</f>
        <v>Correct</v>
      </c>
      <c r="I215" s="26" t="s">
        <v>80</v>
      </c>
      <c r="J215" s="11" t="s">
        <v>78</v>
      </c>
      <c r="K215" s="24" t="str">
        <f aca="false">IF(J215="Yes",IF(I215="Correct","Incorrect","Correct"),I215)</f>
        <v>Correct</v>
      </c>
      <c r="L215" s="24" t="str">
        <f aca="false">IF(I215="Incorrect",IF(H215="Incorrect","TP","FN"),IF(H215="Incorrect","FP","TN"))</f>
        <v>TN</v>
      </c>
      <c r="M215" s="24" t="n">
        <f aca="false">IF(H215=I215,1,0)</f>
        <v>1</v>
      </c>
      <c r="N215" s="24" t="n">
        <f aca="false">IF(G215=I215,1,0)</f>
        <v>1</v>
      </c>
      <c r="O215" s="24" t="n">
        <f aca="false">IF(H215=K215,1,0)</f>
        <v>1</v>
      </c>
      <c r="P215" s="24"/>
      <c r="Q215" s="24" t="s">
        <v>93</v>
      </c>
    </row>
    <row r="216" customFormat="false" ht="15" hidden="false" customHeight="false" outlineLevel="0" collapsed="false">
      <c r="A216" s="11" t="s">
        <v>59</v>
      </c>
      <c r="B216" s="11" t="s">
        <v>32</v>
      </c>
      <c r="C216" s="11" t="n">
        <v>1</v>
      </c>
      <c r="D216" s="11" t="n">
        <v>5</v>
      </c>
      <c r="E216" s="25" t="n">
        <v>74.6</v>
      </c>
      <c r="F216" s="25" t="n">
        <v>31.1</v>
      </c>
      <c r="G216" s="11" t="s">
        <v>80</v>
      </c>
      <c r="H216" s="24" t="str">
        <f aca="false">IF(B216="Squat",IF(AND(E216&lt;=Summary!$B$7,OR(F216="",F216&lt;=Summary!$B$8)),"Correct","Incorrect"),IF(AND(E216&lt;=Summary!$B$9,OR(F216="",F216&gt;=Summary!$B$10)),"Correct","Incorrect"))</f>
        <v>Correct</v>
      </c>
      <c r="I216" s="26" t="s">
        <v>80</v>
      </c>
      <c r="J216" s="11" t="s">
        <v>78</v>
      </c>
      <c r="K216" s="24" t="str">
        <f aca="false">IF(J216="Yes",IF(I216="Correct","Incorrect","Correct"),I216)</f>
        <v>Correct</v>
      </c>
      <c r="L216" s="24" t="str">
        <f aca="false">IF(I216="Incorrect",IF(H216="Incorrect","TP","FN"),IF(H216="Incorrect","FP","TN"))</f>
        <v>TN</v>
      </c>
      <c r="M216" s="24" t="n">
        <f aca="false">IF(H216=I216,1,0)</f>
        <v>1</v>
      </c>
      <c r="N216" s="24" t="n">
        <f aca="false">IF(G216=I216,1,0)</f>
        <v>1</v>
      </c>
      <c r="O216" s="24" t="n">
        <f aca="false">IF(H216=K216,1,0)</f>
        <v>1</v>
      </c>
      <c r="P216" s="24"/>
      <c r="Q216" s="24" t="s">
        <v>93</v>
      </c>
    </row>
    <row r="217" customFormat="false" ht="15" hidden="false" customHeight="false" outlineLevel="0" collapsed="false">
      <c r="A217" s="11" t="s">
        <v>59</v>
      </c>
      <c r="B217" s="11" t="s">
        <v>32</v>
      </c>
      <c r="C217" s="11" t="n">
        <v>1</v>
      </c>
      <c r="D217" s="11" t="n">
        <v>6</v>
      </c>
      <c r="E217" s="25" t="n">
        <v>71.7</v>
      </c>
      <c r="F217" s="25" t="n">
        <v>30.6</v>
      </c>
      <c r="G217" s="11" t="s">
        <v>80</v>
      </c>
      <c r="H217" s="24" t="str">
        <f aca="false">IF(B217="Squat",IF(AND(E217&lt;=Summary!$B$7,OR(F217="",F217&lt;=Summary!$B$8)),"Correct","Incorrect"),IF(AND(E217&lt;=Summary!$B$9,OR(F217="",F217&gt;=Summary!$B$10)),"Correct","Incorrect"))</f>
        <v>Correct</v>
      </c>
      <c r="I217" s="26" t="s">
        <v>80</v>
      </c>
      <c r="J217" s="11" t="s">
        <v>78</v>
      </c>
      <c r="K217" s="24" t="str">
        <f aca="false">IF(J217="Yes",IF(I217="Correct","Incorrect","Correct"),I217)</f>
        <v>Correct</v>
      </c>
      <c r="L217" s="24" t="str">
        <f aca="false">IF(I217="Incorrect",IF(H217="Incorrect","TP","FN"),IF(H217="Incorrect","FP","TN"))</f>
        <v>TN</v>
      </c>
      <c r="M217" s="24" t="n">
        <f aca="false">IF(H217=I217,1,0)</f>
        <v>1</v>
      </c>
      <c r="N217" s="24" t="n">
        <f aca="false">IF(G217=I217,1,0)</f>
        <v>1</v>
      </c>
      <c r="O217" s="24" t="n">
        <f aca="false">IF(H217=K217,1,0)</f>
        <v>1</v>
      </c>
      <c r="P217" s="24"/>
      <c r="Q217" s="24" t="s">
        <v>93</v>
      </c>
    </row>
    <row r="218" customFormat="false" ht="15" hidden="false" customHeight="false" outlineLevel="0" collapsed="false">
      <c r="A218" s="11" t="s">
        <v>59</v>
      </c>
      <c r="B218" s="11" t="s">
        <v>32</v>
      </c>
      <c r="C218" s="11" t="n">
        <v>1</v>
      </c>
      <c r="D218" s="11" t="n">
        <v>7</v>
      </c>
      <c r="E218" s="25" t="n">
        <v>71.8</v>
      </c>
      <c r="F218" s="25" t="n">
        <v>30.9</v>
      </c>
      <c r="G218" s="11" t="s">
        <v>80</v>
      </c>
      <c r="H218" s="24" t="str">
        <f aca="false">IF(B218="Squat",IF(AND(E218&lt;=Summary!$B$7,OR(F218="",F218&lt;=Summary!$B$8)),"Correct","Incorrect"),IF(AND(E218&lt;=Summary!$B$9,OR(F218="",F218&gt;=Summary!$B$10)),"Correct","Incorrect"))</f>
        <v>Correct</v>
      </c>
      <c r="I218" s="26" t="s">
        <v>80</v>
      </c>
      <c r="J218" s="11" t="s">
        <v>78</v>
      </c>
      <c r="K218" s="24" t="str">
        <f aca="false">IF(J218="Yes",IF(I218="Correct","Incorrect","Correct"),I218)</f>
        <v>Correct</v>
      </c>
      <c r="L218" s="24" t="str">
        <f aca="false">IF(I218="Incorrect",IF(H218="Incorrect","TP","FN"),IF(H218="Incorrect","FP","TN"))</f>
        <v>TN</v>
      </c>
      <c r="M218" s="24" t="n">
        <f aca="false">IF(H218=I218,1,0)</f>
        <v>1</v>
      </c>
      <c r="N218" s="24" t="n">
        <f aca="false">IF(G218=I218,1,0)</f>
        <v>1</v>
      </c>
      <c r="O218" s="24" t="n">
        <f aca="false">IF(H218=K218,1,0)</f>
        <v>1</v>
      </c>
      <c r="P218" s="24"/>
      <c r="Q218" s="24" t="s">
        <v>93</v>
      </c>
    </row>
    <row r="219" customFormat="false" ht="15" hidden="false" customHeight="false" outlineLevel="0" collapsed="false">
      <c r="A219" s="11" t="s">
        <v>59</v>
      </c>
      <c r="B219" s="11" t="s">
        <v>32</v>
      </c>
      <c r="C219" s="11" t="n">
        <v>1</v>
      </c>
      <c r="D219" s="11" t="n">
        <v>8</v>
      </c>
      <c r="E219" s="25" t="n">
        <v>75.6</v>
      </c>
      <c r="F219" s="25" t="n">
        <v>30.3</v>
      </c>
      <c r="G219" s="11" t="s">
        <v>80</v>
      </c>
      <c r="H219" s="24" t="str">
        <f aca="false">IF(B219="Squat",IF(AND(E219&lt;=Summary!$B$7,OR(F219="",F219&lt;=Summary!$B$8)),"Correct","Incorrect"),IF(AND(E219&lt;=Summary!$B$9,OR(F219="",F219&gt;=Summary!$B$10)),"Correct","Incorrect"))</f>
        <v>Correct</v>
      </c>
      <c r="I219" s="26" t="s">
        <v>80</v>
      </c>
      <c r="J219" s="11" t="s">
        <v>78</v>
      </c>
      <c r="K219" s="24" t="str">
        <f aca="false">IF(J219="Yes",IF(I219="Correct","Incorrect","Correct"),I219)</f>
        <v>Correct</v>
      </c>
      <c r="L219" s="24" t="str">
        <f aca="false">IF(I219="Incorrect",IF(H219="Incorrect","TP","FN"),IF(H219="Incorrect","FP","TN"))</f>
        <v>TN</v>
      </c>
      <c r="M219" s="24" t="n">
        <f aca="false">IF(H219=I219,1,0)</f>
        <v>1</v>
      </c>
      <c r="N219" s="24" t="n">
        <f aca="false">IF(G219=I219,1,0)</f>
        <v>1</v>
      </c>
      <c r="O219" s="24" t="n">
        <f aca="false">IF(H219=K219,1,0)</f>
        <v>1</v>
      </c>
      <c r="P219" s="24"/>
      <c r="Q219" s="24" t="s">
        <v>93</v>
      </c>
    </row>
    <row r="220" customFormat="false" ht="15" hidden="false" customHeight="false" outlineLevel="0" collapsed="false">
      <c r="A220" s="11" t="s">
        <v>59</v>
      </c>
      <c r="B220" s="11" t="s">
        <v>32</v>
      </c>
      <c r="C220" s="11" t="n">
        <v>1</v>
      </c>
      <c r="D220" s="11" t="n">
        <v>9</v>
      </c>
      <c r="E220" s="25" t="n">
        <v>75.4</v>
      </c>
      <c r="F220" s="25" t="n">
        <v>30.7</v>
      </c>
      <c r="G220" s="11" t="s">
        <v>80</v>
      </c>
      <c r="H220" s="24" t="str">
        <f aca="false">IF(B220="Squat",IF(AND(E220&lt;=Summary!$B$7,OR(F220="",F220&lt;=Summary!$B$8)),"Correct","Incorrect"),IF(AND(E220&lt;=Summary!$B$9,OR(F220="",F220&gt;=Summary!$B$10)),"Correct","Incorrect"))</f>
        <v>Correct</v>
      </c>
      <c r="I220" s="26" t="s">
        <v>80</v>
      </c>
      <c r="J220" s="11" t="s">
        <v>78</v>
      </c>
      <c r="K220" s="24" t="str">
        <f aca="false">IF(J220="Yes",IF(I220="Correct","Incorrect","Correct"),I220)</f>
        <v>Correct</v>
      </c>
      <c r="L220" s="24" t="str">
        <f aca="false">IF(I220="Incorrect",IF(H220="Incorrect","TP","FN"),IF(H220="Incorrect","FP","TN"))</f>
        <v>TN</v>
      </c>
      <c r="M220" s="24" t="n">
        <f aca="false">IF(H220=I220,1,0)</f>
        <v>1</v>
      </c>
      <c r="N220" s="24" t="n">
        <f aca="false">IF(G220=I220,1,0)</f>
        <v>1</v>
      </c>
      <c r="O220" s="24" t="n">
        <f aca="false">IF(H220=K220,1,0)</f>
        <v>1</v>
      </c>
      <c r="P220" s="24"/>
      <c r="Q220" s="24" t="s">
        <v>93</v>
      </c>
    </row>
    <row r="221" customFormat="false" ht="15" hidden="false" customHeight="false" outlineLevel="0" collapsed="false">
      <c r="A221" s="11" t="s">
        <v>59</v>
      </c>
      <c r="B221" s="11" t="s">
        <v>32</v>
      </c>
      <c r="C221" s="11" t="n">
        <v>1</v>
      </c>
      <c r="D221" s="11" t="n">
        <v>10</v>
      </c>
      <c r="E221" s="25" t="n">
        <v>72.4</v>
      </c>
      <c r="F221" s="25" t="n">
        <v>33.3</v>
      </c>
      <c r="G221" s="11" t="s">
        <v>80</v>
      </c>
      <c r="H221" s="24" t="str">
        <f aca="false">IF(B221="Squat",IF(AND(E221&lt;=Summary!$B$7,OR(F221="",F221&lt;=Summary!$B$8)),"Correct","Incorrect"),IF(AND(E221&lt;=Summary!$B$9,OR(F221="",F221&gt;=Summary!$B$10)),"Correct","Incorrect"))</f>
        <v>Correct</v>
      </c>
      <c r="I221" s="26" t="s">
        <v>80</v>
      </c>
      <c r="J221" s="11" t="s">
        <v>78</v>
      </c>
      <c r="K221" s="24" t="str">
        <f aca="false">IF(J221="Yes",IF(I221="Correct","Incorrect","Correct"),I221)</f>
        <v>Correct</v>
      </c>
      <c r="L221" s="24" t="str">
        <f aca="false">IF(I221="Incorrect",IF(H221="Incorrect","TP","FN"),IF(H221="Incorrect","FP","TN"))</f>
        <v>TN</v>
      </c>
      <c r="M221" s="24" t="n">
        <f aca="false">IF(H221=I221,1,0)</f>
        <v>1</v>
      </c>
      <c r="N221" s="24" t="n">
        <f aca="false">IF(G221=I221,1,0)</f>
        <v>1</v>
      </c>
      <c r="O221" s="24" t="n">
        <f aca="false">IF(H221=K221,1,0)</f>
        <v>1</v>
      </c>
      <c r="P221" s="24"/>
      <c r="Q221" s="24" t="s">
        <v>93</v>
      </c>
    </row>
    <row r="222" customFormat="false" ht="15" hidden="false" customHeight="false" outlineLevel="0" collapsed="false">
      <c r="A222" s="11" t="s">
        <v>59</v>
      </c>
      <c r="B222" s="11" t="s">
        <v>32</v>
      </c>
      <c r="C222" s="11" t="n">
        <v>2</v>
      </c>
      <c r="D222" s="11" t="n">
        <v>1</v>
      </c>
      <c r="E222" s="25" t="n">
        <v>107.8</v>
      </c>
      <c r="F222" s="25" t="n">
        <v>17.9</v>
      </c>
      <c r="G222" s="11" t="s">
        <v>77</v>
      </c>
      <c r="H222" s="24" t="str">
        <f aca="false">IF(B222="Squat",IF(AND(E222&lt;=Summary!$B$7,OR(F222="",F222&lt;=Summary!$B$8)),"Correct","Incorrect"),IF(AND(E222&lt;=Summary!$B$9,OR(F222="",F222&gt;=Summary!$B$10)),"Correct","Incorrect"))</f>
        <v>Incorrect</v>
      </c>
      <c r="I222" s="26" t="s">
        <v>77</v>
      </c>
      <c r="J222" s="11" t="s">
        <v>78</v>
      </c>
      <c r="K222" s="24" t="str">
        <f aca="false">IF(J222="Yes",IF(I222="Correct","Incorrect","Correct"),I222)</f>
        <v>Incorrect</v>
      </c>
      <c r="L222" s="24" t="str">
        <f aca="false">IF(I222="Incorrect",IF(H222="Incorrect","TP","FN"),IF(H222="Incorrect","FP","TN"))</f>
        <v>TP</v>
      </c>
      <c r="M222" s="24" t="n">
        <f aca="false">IF(H222=I222,1,0)</f>
        <v>1</v>
      </c>
      <c r="N222" s="24" t="n">
        <f aca="false">IF(G222=I222,1,0)</f>
        <v>1</v>
      </c>
      <c r="O222" s="24" t="n">
        <f aca="false">IF(H222=K222,1,0)</f>
        <v>1</v>
      </c>
      <c r="P222" s="24"/>
      <c r="Q222" s="24" t="s">
        <v>93</v>
      </c>
    </row>
    <row r="223" customFormat="false" ht="15" hidden="false" customHeight="false" outlineLevel="0" collapsed="false">
      <c r="A223" s="11" t="s">
        <v>59</v>
      </c>
      <c r="B223" s="11" t="s">
        <v>32</v>
      </c>
      <c r="C223" s="11" t="n">
        <v>2</v>
      </c>
      <c r="D223" s="11" t="n">
        <v>2</v>
      </c>
      <c r="E223" s="25" t="n">
        <v>103.7</v>
      </c>
      <c r="F223" s="25" t="n">
        <v>24.9</v>
      </c>
      <c r="G223" s="11" t="s">
        <v>77</v>
      </c>
      <c r="H223" s="24" t="str">
        <f aca="false">IF(B223="Squat",IF(AND(E223&lt;=Summary!$B$7,OR(F223="",F223&lt;=Summary!$B$8)),"Correct","Incorrect"),IF(AND(E223&lt;=Summary!$B$9,OR(F223="",F223&gt;=Summary!$B$10)),"Correct","Incorrect"))</f>
        <v>Incorrect</v>
      </c>
      <c r="I223" s="26" t="s">
        <v>77</v>
      </c>
      <c r="J223" s="11" t="s">
        <v>78</v>
      </c>
      <c r="K223" s="24" t="str">
        <f aca="false">IF(J223="Yes",IF(I223="Correct","Incorrect","Correct"),I223)</f>
        <v>Incorrect</v>
      </c>
      <c r="L223" s="24" t="str">
        <f aca="false">IF(I223="Incorrect",IF(H223="Incorrect","TP","FN"),IF(H223="Incorrect","FP","TN"))</f>
        <v>TP</v>
      </c>
      <c r="M223" s="24" t="n">
        <f aca="false">IF(H223=I223,1,0)</f>
        <v>1</v>
      </c>
      <c r="N223" s="24" t="n">
        <f aca="false">IF(G223=I223,1,0)</f>
        <v>1</v>
      </c>
      <c r="O223" s="24" t="n">
        <f aca="false">IF(H223=K223,1,0)</f>
        <v>1</v>
      </c>
      <c r="P223" s="24"/>
      <c r="Q223" s="24" t="s">
        <v>93</v>
      </c>
    </row>
    <row r="224" customFormat="false" ht="15" hidden="false" customHeight="false" outlineLevel="0" collapsed="false">
      <c r="A224" s="11" t="s">
        <v>59</v>
      </c>
      <c r="B224" s="11" t="s">
        <v>32</v>
      </c>
      <c r="C224" s="11" t="n">
        <v>2</v>
      </c>
      <c r="D224" s="11" t="n">
        <v>3</v>
      </c>
      <c r="E224" s="25" t="n">
        <v>98.5</v>
      </c>
      <c r="F224" s="25" t="n">
        <v>25</v>
      </c>
      <c r="G224" s="11" t="s">
        <v>77</v>
      </c>
      <c r="H224" s="24" t="str">
        <f aca="false">IF(B224="Squat",IF(AND(E224&lt;=Summary!$B$7,OR(F224="",F224&lt;=Summary!$B$8)),"Correct","Incorrect"),IF(AND(E224&lt;=Summary!$B$9,OR(F224="",F224&gt;=Summary!$B$10)),"Correct","Incorrect"))</f>
        <v>Incorrect</v>
      </c>
      <c r="I224" s="26" t="s">
        <v>77</v>
      </c>
      <c r="J224" s="11" t="s">
        <v>78</v>
      </c>
      <c r="K224" s="24" t="str">
        <f aca="false">IF(J224="Yes",IF(I224="Correct","Incorrect","Correct"),I224)</f>
        <v>Incorrect</v>
      </c>
      <c r="L224" s="24" t="str">
        <f aca="false">IF(I224="Incorrect",IF(H224="Incorrect","TP","FN"),IF(H224="Incorrect","FP","TN"))</f>
        <v>TP</v>
      </c>
      <c r="M224" s="24" t="n">
        <f aca="false">IF(H224=I224,1,0)</f>
        <v>1</v>
      </c>
      <c r="N224" s="24" t="n">
        <f aca="false">IF(G224=I224,1,0)</f>
        <v>1</v>
      </c>
      <c r="O224" s="24" t="n">
        <f aca="false">IF(H224=K224,1,0)</f>
        <v>1</v>
      </c>
      <c r="P224" s="24"/>
      <c r="Q224" s="24" t="s">
        <v>93</v>
      </c>
    </row>
    <row r="225" customFormat="false" ht="15" hidden="false" customHeight="false" outlineLevel="0" collapsed="false">
      <c r="A225" s="11" t="s">
        <v>59</v>
      </c>
      <c r="B225" s="11" t="s">
        <v>32</v>
      </c>
      <c r="C225" s="11" t="n">
        <v>2</v>
      </c>
      <c r="D225" s="11" t="n">
        <v>4</v>
      </c>
      <c r="E225" s="25" t="n">
        <v>104.4</v>
      </c>
      <c r="F225" s="25" t="n">
        <v>19.1</v>
      </c>
      <c r="G225" s="11" t="s">
        <v>77</v>
      </c>
      <c r="H225" s="24" t="str">
        <f aca="false">IF(B225="Squat",IF(AND(E225&lt;=Summary!$B$7,OR(F225="",F225&lt;=Summary!$B$8)),"Correct","Incorrect"),IF(AND(E225&lt;=Summary!$B$9,OR(F225="",F225&gt;=Summary!$B$10)),"Correct","Incorrect"))</f>
        <v>Incorrect</v>
      </c>
      <c r="I225" s="26" t="s">
        <v>77</v>
      </c>
      <c r="J225" s="11" t="s">
        <v>78</v>
      </c>
      <c r="K225" s="24" t="str">
        <f aca="false">IF(J225="Yes",IF(I225="Correct","Incorrect","Correct"),I225)</f>
        <v>Incorrect</v>
      </c>
      <c r="L225" s="24" t="str">
        <f aca="false">IF(I225="Incorrect",IF(H225="Incorrect","TP","FN"),IF(H225="Incorrect","FP","TN"))</f>
        <v>TP</v>
      </c>
      <c r="M225" s="24" t="n">
        <f aca="false">IF(H225=I225,1,0)</f>
        <v>1</v>
      </c>
      <c r="N225" s="24" t="n">
        <f aca="false">IF(G225=I225,1,0)</f>
        <v>1</v>
      </c>
      <c r="O225" s="24" t="n">
        <f aca="false">IF(H225=K225,1,0)</f>
        <v>1</v>
      </c>
      <c r="P225" s="24"/>
      <c r="Q225" s="24" t="s">
        <v>93</v>
      </c>
    </row>
    <row r="226" customFormat="false" ht="15" hidden="false" customHeight="false" outlineLevel="0" collapsed="false">
      <c r="A226" s="11" t="s">
        <v>59</v>
      </c>
      <c r="B226" s="11" t="s">
        <v>32</v>
      </c>
      <c r="C226" s="11" t="n">
        <v>2</v>
      </c>
      <c r="D226" s="11" t="n">
        <v>5</v>
      </c>
      <c r="E226" s="25" t="n">
        <v>106.7</v>
      </c>
      <c r="F226" s="25" t="n">
        <v>15.4</v>
      </c>
      <c r="G226" s="11" t="s">
        <v>77</v>
      </c>
      <c r="H226" s="24" t="str">
        <f aca="false">IF(B226="Squat",IF(AND(E226&lt;=Summary!$B$7,OR(F226="",F226&lt;=Summary!$B$8)),"Correct","Incorrect"),IF(AND(E226&lt;=Summary!$B$9,OR(F226="",F226&gt;=Summary!$B$10)),"Correct","Incorrect"))</f>
        <v>Incorrect</v>
      </c>
      <c r="I226" s="26" t="s">
        <v>77</v>
      </c>
      <c r="J226" s="11" t="s">
        <v>78</v>
      </c>
      <c r="K226" s="24" t="str">
        <f aca="false">IF(J226="Yes",IF(I226="Correct","Incorrect","Correct"),I226)</f>
        <v>Incorrect</v>
      </c>
      <c r="L226" s="24" t="str">
        <f aca="false">IF(I226="Incorrect",IF(H226="Incorrect","TP","FN"),IF(H226="Incorrect","FP","TN"))</f>
        <v>TP</v>
      </c>
      <c r="M226" s="24" t="n">
        <f aca="false">IF(H226=I226,1,0)</f>
        <v>1</v>
      </c>
      <c r="N226" s="24" t="n">
        <f aca="false">IF(G226=I226,1,0)</f>
        <v>1</v>
      </c>
      <c r="O226" s="24" t="n">
        <f aca="false">IF(H226=K226,1,0)</f>
        <v>1</v>
      </c>
      <c r="P226" s="24"/>
      <c r="Q226" s="24" t="s">
        <v>93</v>
      </c>
    </row>
    <row r="227" customFormat="false" ht="15" hidden="false" customHeight="false" outlineLevel="0" collapsed="false">
      <c r="A227" s="11" t="s">
        <v>59</v>
      </c>
      <c r="B227" s="11" t="s">
        <v>32</v>
      </c>
      <c r="C227" s="11" t="n">
        <v>2</v>
      </c>
      <c r="D227" s="11" t="n">
        <v>6</v>
      </c>
      <c r="E227" s="25" t="n">
        <v>106</v>
      </c>
      <c r="F227" s="25" t="n">
        <v>13.3</v>
      </c>
      <c r="G227" s="11" t="s">
        <v>77</v>
      </c>
      <c r="H227" s="24" t="str">
        <f aca="false">IF(B227="Squat",IF(AND(E227&lt;=Summary!$B$7,OR(F227="",F227&lt;=Summary!$B$8)),"Correct","Incorrect"),IF(AND(E227&lt;=Summary!$B$9,OR(F227="",F227&gt;=Summary!$B$10)),"Correct","Incorrect"))</f>
        <v>Incorrect</v>
      </c>
      <c r="I227" s="26" t="s">
        <v>77</v>
      </c>
      <c r="J227" s="11" t="s">
        <v>78</v>
      </c>
      <c r="K227" s="24" t="str">
        <f aca="false">IF(J227="Yes",IF(I227="Correct","Incorrect","Correct"),I227)</f>
        <v>Incorrect</v>
      </c>
      <c r="L227" s="24" t="str">
        <f aca="false">IF(I227="Incorrect",IF(H227="Incorrect","TP","FN"),IF(H227="Incorrect","FP","TN"))</f>
        <v>TP</v>
      </c>
      <c r="M227" s="24" t="n">
        <f aca="false">IF(H227=I227,1,0)</f>
        <v>1</v>
      </c>
      <c r="N227" s="24" t="n">
        <f aca="false">IF(G227=I227,1,0)</f>
        <v>1</v>
      </c>
      <c r="O227" s="24" t="n">
        <f aca="false">IF(H227=K227,1,0)</f>
        <v>1</v>
      </c>
      <c r="P227" s="24"/>
      <c r="Q227" s="24" t="s">
        <v>93</v>
      </c>
    </row>
    <row r="228" customFormat="false" ht="15" hidden="false" customHeight="false" outlineLevel="0" collapsed="false">
      <c r="A228" s="11" t="s">
        <v>59</v>
      </c>
      <c r="B228" s="11" t="s">
        <v>32</v>
      </c>
      <c r="C228" s="11" t="n">
        <v>2</v>
      </c>
      <c r="D228" s="11" t="n">
        <v>7</v>
      </c>
      <c r="E228" s="25" t="n">
        <v>106.7</v>
      </c>
      <c r="F228" s="25" t="n">
        <v>12.3</v>
      </c>
      <c r="G228" s="11" t="s">
        <v>77</v>
      </c>
      <c r="H228" s="24" t="str">
        <f aca="false">IF(B228="Squat",IF(AND(E228&lt;=Summary!$B$7,OR(F228="",F228&lt;=Summary!$B$8)),"Correct","Incorrect"),IF(AND(E228&lt;=Summary!$B$9,OR(F228="",F228&gt;=Summary!$B$10)),"Correct","Incorrect"))</f>
        <v>Incorrect</v>
      </c>
      <c r="I228" s="26" t="s">
        <v>77</v>
      </c>
      <c r="J228" s="11" t="s">
        <v>78</v>
      </c>
      <c r="K228" s="24" t="str">
        <f aca="false">IF(J228="Yes",IF(I228="Correct","Incorrect","Correct"),I228)</f>
        <v>Incorrect</v>
      </c>
      <c r="L228" s="24" t="str">
        <f aca="false">IF(I228="Incorrect",IF(H228="Incorrect","TP","FN"),IF(H228="Incorrect","FP","TN"))</f>
        <v>TP</v>
      </c>
      <c r="M228" s="24" t="n">
        <f aca="false">IF(H228=I228,1,0)</f>
        <v>1</v>
      </c>
      <c r="N228" s="24" t="n">
        <f aca="false">IF(G228=I228,1,0)</f>
        <v>1</v>
      </c>
      <c r="O228" s="24" t="n">
        <f aca="false">IF(H228=K228,1,0)</f>
        <v>1</v>
      </c>
      <c r="P228" s="24"/>
      <c r="Q228" s="24" t="s">
        <v>93</v>
      </c>
    </row>
    <row r="229" customFormat="false" ht="15" hidden="false" customHeight="false" outlineLevel="0" collapsed="false">
      <c r="A229" s="11" t="s">
        <v>59</v>
      </c>
      <c r="B229" s="11" t="s">
        <v>32</v>
      </c>
      <c r="C229" s="11" t="n">
        <v>2</v>
      </c>
      <c r="D229" s="11" t="n">
        <v>8</v>
      </c>
      <c r="E229" s="25" t="n">
        <v>103.8</v>
      </c>
      <c r="F229" s="25" t="n">
        <v>16.4</v>
      </c>
      <c r="G229" s="11" t="s">
        <v>77</v>
      </c>
      <c r="H229" s="24" t="str">
        <f aca="false">IF(B229="Squat",IF(AND(E229&lt;=Summary!$B$7,OR(F229="",F229&lt;=Summary!$B$8)),"Correct","Incorrect"),IF(AND(E229&lt;=Summary!$B$9,OR(F229="",F229&gt;=Summary!$B$10)),"Correct","Incorrect"))</f>
        <v>Incorrect</v>
      </c>
      <c r="I229" s="26" t="s">
        <v>77</v>
      </c>
      <c r="J229" s="11" t="s">
        <v>78</v>
      </c>
      <c r="K229" s="24" t="str">
        <f aca="false">IF(J229="Yes",IF(I229="Correct","Incorrect","Correct"),I229)</f>
        <v>Incorrect</v>
      </c>
      <c r="L229" s="24" t="str">
        <f aca="false">IF(I229="Incorrect",IF(H229="Incorrect","TP","FN"),IF(H229="Incorrect","FP","TN"))</f>
        <v>TP</v>
      </c>
      <c r="M229" s="24" t="n">
        <f aca="false">IF(H229=I229,1,0)</f>
        <v>1</v>
      </c>
      <c r="N229" s="24" t="n">
        <f aca="false">IF(G229=I229,1,0)</f>
        <v>1</v>
      </c>
      <c r="O229" s="24" t="n">
        <f aca="false">IF(H229=K229,1,0)</f>
        <v>1</v>
      </c>
      <c r="P229" s="24"/>
      <c r="Q229" s="24" t="s">
        <v>93</v>
      </c>
    </row>
    <row r="230" customFormat="false" ht="15" hidden="false" customHeight="false" outlineLevel="0" collapsed="false">
      <c r="A230" s="11" t="s">
        <v>59</v>
      </c>
      <c r="B230" s="11" t="s">
        <v>32</v>
      </c>
      <c r="C230" s="11" t="n">
        <v>2</v>
      </c>
      <c r="D230" s="11" t="n">
        <v>9</v>
      </c>
      <c r="E230" s="25" t="n">
        <v>47.1</v>
      </c>
      <c r="F230" s="25" t="n">
        <v>35.4</v>
      </c>
      <c r="G230" s="11" t="s">
        <v>80</v>
      </c>
      <c r="H230" s="24" t="str">
        <f aca="false">IF(B230="Squat",IF(AND(E230&lt;=Summary!$B$7,OR(F230="",F230&lt;=Summary!$B$8)),"Correct","Incorrect"),IF(AND(E230&lt;=Summary!$B$9,OR(F230="",F230&gt;=Summary!$B$10)),"Correct","Incorrect"))</f>
        <v>Correct</v>
      </c>
      <c r="I230" s="26" t="s">
        <v>80</v>
      </c>
      <c r="J230" s="11" t="s">
        <v>86</v>
      </c>
      <c r="K230" s="24" t="str">
        <f aca="false">IF(J230="Yes",IF(I230="Correct","Incorrect","Correct"),I230)</f>
        <v>Incorrect</v>
      </c>
      <c r="L230" s="24" t="str">
        <f aca="false">IF(I230="Incorrect",IF(H230="Incorrect","TP","FN"),IF(H230="Incorrect","FP","TN"))</f>
        <v>TN</v>
      </c>
      <c r="M230" s="24" t="n">
        <f aca="false">IF(H230=I230,1,0)</f>
        <v>1</v>
      </c>
      <c r="N230" s="24" t="n">
        <f aca="false">IF(G230=I230,1,0)</f>
        <v>1</v>
      </c>
      <c r="O230" s="24" t="n">
        <f aca="false">IF(H230=K230,1,0)</f>
        <v>0</v>
      </c>
      <c r="P230" s="27" t="s">
        <v>87</v>
      </c>
      <c r="Q230" s="24" t="s">
        <v>93</v>
      </c>
    </row>
    <row r="231" customFormat="false" ht="15" hidden="false" customHeight="false" outlineLevel="0" collapsed="false">
      <c r="A231" s="11" t="s">
        <v>59</v>
      </c>
      <c r="B231" s="11" t="s">
        <v>32</v>
      </c>
      <c r="C231" s="11" t="n">
        <v>2</v>
      </c>
      <c r="D231" s="11" t="n">
        <v>10</v>
      </c>
      <c r="E231" s="25" t="n">
        <v>103.6</v>
      </c>
      <c r="F231" s="25" t="n">
        <v>21.8</v>
      </c>
      <c r="G231" s="11" t="s">
        <v>77</v>
      </c>
      <c r="H231" s="24" t="str">
        <f aca="false">IF(B231="Squat",IF(AND(E231&lt;=Summary!$B$7,OR(F231="",F231&lt;=Summary!$B$8)),"Correct","Incorrect"),IF(AND(E231&lt;=Summary!$B$9,OR(F231="",F231&gt;=Summary!$B$10)),"Correct","Incorrect"))</f>
        <v>Incorrect</v>
      </c>
      <c r="I231" s="26" t="s">
        <v>77</v>
      </c>
      <c r="J231" s="11" t="s">
        <v>78</v>
      </c>
      <c r="K231" s="24" t="str">
        <f aca="false">IF(J231="Yes",IF(I231="Correct","Incorrect","Correct"),I231)</f>
        <v>Incorrect</v>
      </c>
      <c r="L231" s="24" t="str">
        <f aca="false">IF(I231="Incorrect",IF(H231="Incorrect","TP","FN"),IF(H231="Incorrect","FP","TN"))</f>
        <v>TP</v>
      </c>
      <c r="M231" s="24" t="n">
        <f aca="false">IF(H231=I231,1,0)</f>
        <v>1</v>
      </c>
      <c r="N231" s="24" t="n">
        <f aca="false">IF(G231=I231,1,0)</f>
        <v>1</v>
      </c>
      <c r="O231" s="24" t="n">
        <f aca="false">IF(H231=K231,1,0)</f>
        <v>1</v>
      </c>
      <c r="P231" s="24"/>
      <c r="Q231" s="24" t="s">
        <v>93</v>
      </c>
    </row>
    <row r="232" customFormat="false" ht="15" hidden="false" customHeight="false" outlineLevel="0" collapsed="false">
      <c r="A232" s="11" t="s">
        <v>59</v>
      </c>
      <c r="B232" s="11" t="s">
        <v>32</v>
      </c>
      <c r="C232" s="11" t="n">
        <v>3</v>
      </c>
      <c r="D232" s="11" t="n">
        <v>1</v>
      </c>
      <c r="E232" s="25" t="n">
        <v>76.2</v>
      </c>
      <c r="F232" s="25" t="n">
        <v>35.3</v>
      </c>
      <c r="G232" s="11" t="s">
        <v>80</v>
      </c>
      <c r="H232" s="24" t="str">
        <f aca="false">IF(B232="Squat",IF(AND(E232&lt;=Summary!$B$7,OR(F232="",F232&lt;=Summary!$B$8)),"Correct","Incorrect"),IF(AND(E232&lt;=Summary!$B$9,OR(F232="",F232&gt;=Summary!$B$10)),"Correct","Incorrect"))</f>
        <v>Correct</v>
      </c>
      <c r="I232" s="26" t="s">
        <v>80</v>
      </c>
      <c r="J232" s="11" t="s">
        <v>78</v>
      </c>
      <c r="K232" s="24" t="str">
        <f aca="false">IF(J232="Yes",IF(I232="Correct","Incorrect","Correct"),I232)</f>
        <v>Correct</v>
      </c>
      <c r="L232" s="24" t="str">
        <f aca="false">IF(I232="Incorrect",IF(H232="Incorrect","TP","FN"),IF(H232="Incorrect","FP","TN"))</f>
        <v>TN</v>
      </c>
      <c r="M232" s="24" t="n">
        <f aca="false">IF(H232=I232,1,0)</f>
        <v>1</v>
      </c>
      <c r="N232" s="24" t="n">
        <f aca="false">IF(G232=I232,1,0)</f>
        <v>1</v>
      </c>
      <c r="O232" s="24" t="n">
        <f aca="false">IF(H232=K232,1,0)</f>
        <v>1</v>
      </c>
      <c r="P232" s="24"/>
      <c r="Q232" s="24" t="s">
        <v>93</v>
      </c>
    </row>
    <row r="233" customFormat="false" ht="15" hidden="false" customHeight="false" outlineLevel="0" collapsed="false">
      <c r="A233" s="11" t="s">
        <v>59</v>
      </c>
      <c r="B233" s="11" t="s">
        <v>32</v>
      </c>
      <c r="C233" s="11" t="n">
        <v>3</v>
      </c>
      <c r="D233" s="11" t="n">
        <v>2</v>
      </c>
      <c r="E233" s="25" t="n">
        <v>76.9</v>
      </c>
      <c r="F233" s="25" t="n">
        <v>32.7</v>
      </c>
      <c r="G233" s="11" t="s">
        <v>80</v>
      </c>
      <c r="H233" s="24" t="str">
        <f aca="false">IF(B233="Squat",IF(AND(E233&lt;=Summary!$B$7,OR(F233="",F233&lt;=Summary!$B$8)),"Correct","Incorrect"),IF(AND(E233&lt;=Summary!$B$9,OR(F233="",F233&gt;=Summary!$B$10)),"Correct","Incorrect"))</f>
        <v>Correct</v>
      </c>
      <c r="I233" s="26" t="s">
        <v>80</v>
      </c>
      <c r="J233" s="11" t="s">
        <v>78</v>
      </c>
      <c r="K233" s="24" t="str">
        <f aca="false">IF(J233="Yes",IF(I233="Correct","Incorrect","Correct"),I233)</f>
        <v>Correct</v>
      </c>
      <c r="L233" s="24" t="str">
        <f aca="false">IF(I233="Incorrect",IF(H233="Incorrect","TP","FN"),IF(H233="Incorrect","FP","TN"))</f>
        <v>TN</v>
      </c>
      <c r="M233" s="24" t="n">
        <f aca="false">IF(H233=I233,1,0)</f>
        <v>1</v>
      </c>
      <c r="N233" s="24" t="n">
        <f aca="false">IF(G233=I233,1,0)</f>
        <v>1</v>
      </c>
      <c r="O233" s="24" t="n">
        <f aca="false">IF(H233=K233,1,0)</f>
        <v>1</v>
      </c>
      <c r="P233" s="24"/>
      <c r="Q233" s="24" t="s">
        <v>93</v>
      </c>
    </row>
    <row r="234" customFormat="false" ht="15" hidden="false" customHeight="false" outlineLevel="0" collapsed="false">
      <c r="A234" s="11" t="s">
        <v>59</v>
      </c>
      <c r="B234" s="11" t="s">
        <v>32</v>
      </c>
      <c r="C234" s="11" t="n">
        <v>3</v>
      </c>
      <c r="D234" s="11" t="n">
        <v>3</v>
      </c>
      <c r="E234" s="25" t="n">
        <v>76.1</v>
      </c>
      <c r="F234" s="25" t="n">
        <v>34.3</v>
      </c>
      <c r="G234" s="11" t="s">
        <v>80</v>
      </c>
      <c r="H234" s="24" t="str">
        <f aca="false">IF(B234="Squat",IF(AND(E234&lt;=Summary!$B$7,OR(F234="",F234&lt;=Summary!$B$8)),"Correct","Incorrect"),IF(AND(E234&lt;=Summary!$B$9,OR(F234="",F234&gt;=Summary!$B$10)),"Correct","Incorrect"))</f>
        <v>Correct</v>
      </c>
      <c r="I234" s="26" t="s">
        <v>80</v>
      </c>
      <c r="J234" s="11" t="s">
        <v>78</v>
      </c>
      <c r="K234" s="24" t="str">
        <f aca="false">IF(J234="Yes",IF(I234="Correct","Incorrect","Correct"),I234)</f>
        <v>Correct</v>
      </c>
      <c r="L234" s="24" t="str">
        <f aca="false">IF(I234="Incorrect",IF(H234="Incorrect","TP","FN"),IF(H234="Incorrect","FP","TN"))</f>
        <v>TN</v>
      </c>
      <c r="M234" s="24" t="n">
        <f aca="false">IF(H234=I234,1,0)</f>
        <v>1</v>
      </c>
      <c r="N234" s="24" t="n">
        <f aca="false">IF(G234=I234,1,0)</f>
        <v>1</v>
      </c>
      <c r="O234" s="24" t="n">
        <f aca="false">IF(H234=K234,1,0)</f>
        <v>1</v>
      </c>
      <c r="P234" s="24"/>
      <c r="Q234" s="24" t="s">
        <v>93</v>
      </c>
    </row>
    <row r="235" customFormat="false" ht="15" hidden="false" customHeight="false" outlineLevel="0" collapsed="false">
      <c r="A235" s="11" t="s">
        <v>59</v>
      </c>
      <c r="B235" s="11" t="s">
        <v>32</v>
      </c>
      <c r="C235" s="11" t="n">
        <v>3</v>
      </c>
      <c r="D235" s="11" t="n">
        <v>4</v>
      </c>
      <c r="E235" s="25" t="n">
        <v>73.2</v>
      </c>
      <c r="F235" s="25" t="n">
        <v>34.7</v>
      </c>
      <c r="G235" s="11" t="s">
        <v>80</v>
      </c>
      <c r="H235" s="24" t="str">
        <f aca="false">IF(B235="Squat",IF(AND(E235&lt;=Summary!$B$7,OR(F235="",F235&lt;=Summary!$B$8)),"Correct","Incorrect"),IF(AND(E235&lt;=Summary!$B$9,OR(F235="",F235&gt;=Summary!$B$10)),"Correct","Incorrect"))</f>
        <v>Correct</v>
      </c>
      <c r="I235" s="26" t="s">
        <v>80</v>
      </c>
      <c r="J235" s="11" t="s">
        <v>78</v>
      </c>
      <c r="K235" s="24" t="str">
        <f aca="false">IF(J235="Yes",IF(I235="Correct","Incorrect","Correct"),I235)</f>
        <v>Correct</v>
      </c>
      <c r="L235" s="24" t="str">
        <f aca="false">IF(I235="Incorrect",IF(H235="Incorrect","TP","FN"),IF(H235="Incorrect","FP","TN"))</f>
        <v>TN</v>
      </c>
      <c r="M235" s="24" t="n">
        <f aca="false">IF(H235=I235,1,0)</f>
        <v>1</v>
      </c>
      <c r="N235" s="24" t="n">
        <f aca="false">IF(G235=I235,1,0)</f>
        <v>1</v>
      </c>
      <c r="O235" s="24" t="n">
        <f aca="false">IF(H235=K235,1,0)</f>
        <v>1</v>
      </c>
      <c r="P235" s="24"/>
      <c r="Q235" s="24" t="s">
        <v>93</v>
      </c>
    </row>
    <row r="236" customFormat="false" ht="15" hidden="false" customHeight="false" outlineLevel="0" collapsed="false">
      <c r="A236" s="11" t="s">
        <v>59</v>
      </c>
      <c r="B236" s="11" t="s">
        <v>32</v>
      </c>
      <c r="C236" s="11" t="n">
        <v>3</v>
      </c>
      <c r="D236" s="11" t="n">
        <v>5</v>
      </c>
      <c r="E236" s="25" t="n">
        <v>73.4</v>
      </c>
      <c r="F236" s="25" t="n">
        <v>36.1</v>
      </c>
      <c r="G236" s="11" t="s">
        <v>80</v>
      </c>
      <c r="H236" s="24" t="str">
        <f aca="false">IF(B236="Squat",IF(AND(E236&lt;=Summary!$B$7,OR(F236="",F236&lt;=Summary!$B$8)),"Correct","Incorrect"),IF(AND(E236&lt;=Summary!$B$9,OR(F236="",F236&gt;=Summary!$B$10)),"Correct","Incorrect"))</f>
        <v>Correct</v>
      </c>
      <c r="I236" s="26" t="s">
        <v>80</v>
      </c>
      <c r="J236" s="11" t="s">
        <v>78</v>
      </c>
      <c r="K236" s="24" t="str">
        <f aca="false">IF(J236="Yes",IF(I236="Correct","Incorrect","Correct"),I236)</f>
        <v>Correct</v>
      </c>
      <c r="L236" s="24" t="str">
        <f aca="false">IF(I236="Incorrect",IF(H236="Incorrect","TP","FN"),IF(H236="Incorrect","FP","TN"))</f>
        <v>TN</v>
      </c>
      <c r="M236" s="24" t="n">
        <f aca="false">IF(H236=I236,1,0)</f>
        <v>1</v>
      </c>
      <c r="N236" s="24" t="n">
        <f aca="false">IF(G236=I236,1,0)</f>
        <v>1</v>
      </c>
      <c r="O236" s="24" t="n">
        <f aca="false">IF(H236=K236,1,0)</f>
        <v>1</v>
      </c>
      <c r="P236" s="24"/>
      <c r="Q236" s="24" t="s">
        <v>93</v>
      </c>
    </row>
    <row r="237" customFormat="false" ht="15" hidden="false" customHeight="false" outlineLevel="0" collapsed="false">
      <c r="A237" s="11" t="s">
        <v>59</v>
      </c>
      <c r="B237" s="11" t="s">
        <v>32</v>
      </c>
      <c r="C237" s="11" t="n">
        <v>3</v>
      </c>
      <c r="D237" s="11" t="n">
        <v>6</v>
      </c>
      <c r="E237" s="25" t="n">
        <v>75.5</v>
      </c>
      <c r="F237" s="25" t="n">
        <v>35.2</v>
      </c>
      <c r="G237" s="11" t="s">
        <v>80</v>
      </c>
      <c r="H237" s="24" t="str">
        <f aca="false">IF(B237="Squat",IF(AND(E237&lt;=Summary!$B$7,OR(F237="",F237&lt;=Summary!$B$8)),"Correct","Incorrect"),IF(AND(E237&lt;=Summary!$B$9,OR(F237="",F237&gt;=Summary!$B$10)),"Correct","Incorrect"))</f>
        <v>Correct</v>
      </c>
      <c r="I237" s="26" t="s">
        <v>80</v>
      </c>
      <c r="J237" s="11" t="s">
        <v>78</v>
      </c>
      <c r="K237" s="24" t="str">
        <f aca="false">IF(J237="Yes",IF(I237="Correct","Incorrect","Correct"),I237)</f>
        <v>Correct</v>
      </c>
      <c r="L237" s="24" t="str">
        <f aca="false">IF(I237="Incorrect",IF(H237="Incorrect","TP","FN"),IF(H237="Incorrect","FP","TN"))</f>
        <v>TN</v>
      </c>
      <c r="M237" s="24" t="n">
        <f aca="false">IF(H237=I237,1,0)</f>
        <v>1</v>
      </c>
      <c r="N237" s="24" t="n">
        <f aca="false">IF(G237=I237,1,0)</f>
        <v>1</v>
      </c>
      <c r="O237" s="24" t="n">
        <f aca="false">IF(H237=K237,1,0)</f>
        <v>1</v>
      </c>
      <c r="P237" s="24"/>
      <c r="Q237" s="24" t="s">
        <v>93</v>
      </c>
    </row>
    <row r="238" customFormat="false" ht="15" hidden="false" customHeight="false" outlineLevel="0" collapsed="false">
      <c r="A238" s="11" t="s">
        <v>59</v>
      </c>
      <c r="B238" s="11" t="s">
        <v>32</v>
      </c>
      <c r="C238" s="11" t="n">
        <v>3</v>
      </c>
      <c r="D238" s="11" t="n">
        <v>7</v>
      </c>
      <c r="E238" s="25" t="n">
        <v>75.5</v>
      </c>
      <c r="F238" s="25" t="n">
        <v>34.7</v>
      </c>
      <c r="G238" s="11" t="s">
        <v>80</v>
      </c>
      <c r="H238" s="24" t="str">
        <f aca="false">IF(B238="Squat",IF(AND(E238&lt;=Summary!$B$7,OR(F238="",F238&lt;=Summary!$B$8)),"Correct","Incorrect"),IF(AND(E238&lt;=Summary!$B$9,OR(F238="",F238&gt;=Summary!$B$10)),"Correct","Incorrect"))</f>
        <v>Correct</v>
      </c>
      <c r="I238" s="26" t="s">
        <v>80</v>
      </c>
      <c r="J238" s="11" t="s">
        <v>78</v>
      </c>
      <c r="K238" s="24" t="str">
        <f aca="false">IF(J238="Yes",IF(I238="Correct","Incorrect","Correct"),I238)</f>
        <v>Correct</v>
      </c>
      <c r="L238" s="24" t="str">
        <f aca="false">IF(I238="Incorrect",IF(H238="Incorrect","TP","FN"),IF(H238="Incorrect","FP","TN"))</f>
        <v>TN</v>
      </c>
      <c r="M238" s="24" t="n">
        <f aca="false">IF(H238=I238,1,0)</f>
        <v>1</v>
      </c>
      <c r="N238" s="24" t="n">
        <f aca="false">IF(G238=I238,1,0)</f>
        <v>1</v>
      </c>
      <c r="O238" s="24" t="n">
        <f aca="false">IF(H238=K238,1,0)</f>
        <v>1</v>
      </c>
      <c r="P238" s="24"/>
      <c r="Q238" s="24" t="s">
        <v>93</v>
      </c>
    </row>
    <row r="239" customFormat="false" ht="15" hidden="false" customHeight="false" outlineLevel="0" collapsed="false">
      <c r="A239" s="11" t="s">
        <v>59</v>
      </c>
      <c r="B239" s="11" t="s">
        <v>32</v>
      </c>
      <c r="C239" s="11" t="n">
        <v>3</v>
      </c>
      <c r="D239" s="11" t="n">
        <v>8</v>
      </c>
      <c r="E239" s="25" t="n">
        <v>75.3</v>
      </c>
      <c r="F239" s="25" t="n">
        <v>37.3</v>
      </c>
      <c r="G239" s="11" t="s">
        <v>80</v>
      </c>
      <c r="H239" s="24" t="str">
        <f aca="false">IF(B239="Squat",IF(AND(E239&lt;=Summary!$B$7,OR(F239="",F239&lt;=Summary!$B$8)),"Correct","Incorrect"),IF(AND(E239&lt;=Summary!$B$9,OR(F239="",F239&gt;=Summary!$B$10)),"Correct","Incorrect"))</f>
        <v>Correct</v>
      </c>
      <c r="I239" s="26" t="s">
        <v>80</v>
      </c>
      <c r="J239" s="11" t="s">
        <v>78</v>
      </c>
      <c r="K239" s="24" t="str">
        <f aca="false">IF(J239="Yes",IF(I239="Correct","Incorrect","Correct"),I239)</f>
        <v>Correct</v>
      </c>
      <c r="L239" s="24" t="str">
        <f aca="false">IF(I239="Incorrect",IF(H239="Incorrect","TP","FN"),IF(H239="Incorrect","FP","TN"))</f>
        <v>TN</v>
      </c>
      <c r="M239" s="24" t="n">
        <f aca="false">IF(H239=I239,1,0)</f>
        <v>1</v>
      </c>
      <c r="N239" s="24" t="n">
        <f aca="false">IF(G239=I239,1,0)</f>
        <v>1</v>
      </c>
      <c r="O239" s="24" t="n">
        <f aca="false">IF(H239=K239,1,0)</f>
        <v>1</v>
      </c>
      <c r="P239" s="24"/>
      <c r="Q239" s="24" t="s">
        <v>93</v>
      </c>
    </row>
    <row r="240" customFormat="false" ht="15" hidden="false" customHeight="false" outlineLevel="0" collapsed="false">
      <c r="A240" s="11" t="s">
        <v>59</v>
      </c>
      <c r="B240" s="11" t="s">
        <v>32</v>
      </c>
      <c r="C240" s="11" t="n">
        <v>3</v>
      </c>
      <c r="D240" s="11" t="n">
        <v>9</v>
      </c>
      <c r="E240" s="25" t="n">
        <v>68.4</v>
      </c>
      <c r="F240" s="25" t="n">
        <v>33.9</v>
      </c>
      <c r="G240" s="11" t="s">
        <v>80</v>
      </c>
      <c r="H240" s="24" t="str">
        <f aca="false">IF(B240="Squat",IF(AND(E240&lt;=Summary!$B$7,OR(F240="",F240&lt;=Summary!$B$8)),"Correct","Incorrect"),IF(AND(E240&lt;=Summary!$B$9,OR(F240="",F240&gt;=Summary!$B$10)),"Correct","Incorrect"))</f>
        <v>Correct</v>
      </c>
      <c r="I240" s="26" t="s">
        <v>80</v>
      </c>
      <c r="J240" s="11" t="s">
        <v>78</v>
      </c>
      <c r="K240" s="24" t="str">
        <f aca="false">IF(J240="Yes",IF(I240="Correct","Incorrect","Correct"),I240)</f>
        <v>Correct</v>
      </c>
      <c r="L240" s="24" t="str">
        <f aca="false">IF(I240="Incorrect",IF(H240="Incorrect","TP","FN"),IF(H240="Incorrect","FP","TN"))</f>
        <v>TN</v>
      </c>
      <c r="M240" s="24" t="n">
        <f aca="false">IF(H240=I240,1,0)</f>
        <v>1</v>
      </c>
      <c r="N240" s="24" t="n">
        <f aca="false">IF(G240=I240,1,0)</f>
        <v>1</v>
      </c>
      <c r="O240" s="24" t="n">
        <f aca="false">IF(H240=K240,1,0)</f>
        <v>1</v>
      </c>
      <c r="P240" s="24"/>
      <c r="Q240" s="24" t="s">
        <v>93</v>
      </c>
    </row>
    <row r="241" customFormat="false" ht="15" hidden="false" customHeight="false" outlineLevel="0" collapsed="false">
      <c r="A241" s="11" t="s">
        <v>59</v>
      </c>
      <c r="B241" s="11" t="s">
        <v>32</v>
      </c>
      <c r="C241" s="11" t="n">
        <v>3</v>
      </c>
      <c r="D241" s="11" t="n">
        <v>10</v>
      </c>
      <c r="E241" s="25" t="n">
        <v>71.4</v>
      </c>
      <c r="F241" s="25" t="n">
        <v>36.7</v>
      </c>
      <c r="G241" s="11" t="s">
        <v>80</v>
      </c>
      <c r="H241" s="24" t="str">
        <f aca="false">IF(B241="Squat",IF(AND(E241&lt;=Summary!$B$7,OR(F241="",F241&lt;=Summary!$B$8)),"Correct","Incorrect"),IF(AND(E241&lt;=Summary!$B$9,OR(F241="",F241&gt;=Summary!$B$10)),"Correct","Incorrect"))</f>
        <v>Correct</v>
      </c>
      <c r="I241" s="26" t="s">
        <v>80</v>
      </c>
      <c r="J241" s="11" t="s">
        <v>78</v>
      </c>
      <c r="K241" s="24" t="str">
        <f aca="false">IF(J241="Yes",IF(I241="Correct","Incorrect","Correct"),I241)</f>
        <v>Correct</v>
      </c>
      <c r="L241" s="24" t="str">
        <f aca="false">IF(I241="Incorrect",IF(H241="Incorrect","TP","FN"),IF(H241="Incorrect","FP","TN"))</f>
        <v>TN</v>
      </c>
      <c r="M241" s="24" t="n">
        <f aca="false">IF(H241=I241,1,0)</f>
        <v>1</v>
      </c>
      <c r="N241" s="24" t="n">
        <f aca="false">IF(G241=I241,1,0)</f>
        <v>1</v>
      </c>
      <c r="O241" s="24" t="n">
        <f aca="false">IF(H241=K241,1,0)</f>
        <v>1</v>
      </c>
      <c r="P241" s="24"/>
      <c r="Q241" s="24" t="s">
        <v>93</v>
      </c>
    </row>
    <row r="242" customFormat="false" ht="15" hidden="false" customHeight="false" outlineLevel="0" collapsed="false">
      <c r="A242" s="11" t="s">
        <v>60</v>
      </c>
      <c r="B242" s="11" t="s">
        <v>32</v>
      </c>
      <c r="C242" s="11" t="n">
        <v>1</v>
      </c>
      <c r="D242" s="11" t="n">
        <v>1</v>
      </c>
      <c r="E242" s="25" t="n">
        <v>106.3</v>
      </c>
      <c r="F242" s="25" t="n">
        <v>14.7</v>
      </c>
      <c r="G242" s="11" t="s">
        <v>77</v>
      </c>
      <c r="H242" s="24" t="str">
        <f aca="false">IF(B242="Squat",IF(AND(E242&lt;=Summary!$B$7,OR(F242="",F242&lt;=Summary!$B$8)),"Correct","Incorrect"),IF(AND(E242&lt;=Summary!$B$9,OR(F242="",F242&gt;=Summary!$B$10)),"Correct","Incorrect"))</f>
        <v>Incorrect</v>
      </c>
      <c r="I242" s="26" t="s">
        <v>77</v>
      </c>
      <c r="J242" s="11" t="s">
        <v>78</v>
      </c>
      <c r="K242" s="24" t="str">
        <f aca="false">IF(J242="Yes",IF(I242="Correct","Incorrect","Correct"),I242)</f>
        <v>Incorrect</v>
      </c>
      <c r="L242" s="24" t="str">
        <f aca="false">IF(I242="Incorrect",IF(H242="Incorrect","TP","FN"),IF(H242="Incorrect","FP","TN"))</f>
        <v>TP</v>
      </c>
      <c r="M242" s="24" t="n">
        <f aca="false">IF(H242=I242,1,0)</f>
        <v>1</v>
      </c>
      <c r="N242" s="24" t="n">
        <f aca="false">IF(G242=I242,1,0)</f>
        <v>1</v>
      </c>
      <c r="O242" s="24" t="n">
        <f aca="false">IF(H242=K242,1,0)</f>
        <v>1</v>
      </c>
      <c r="P242" s="24"/>
      <c r="Q242" s="24" t="s">
        <v>95</v>
      </c>
    </row>
    <row r="243" customFormat="false" ht="15" hidden="false" customHeight="false" outlineLevel="0" collapsed="false">
      <c r="A243" s="11" t="s">
        <v>60</v>
      </c>
      <c r="B243" s="11" t="s">
        <v>32</v>
      </c>
      <c r="C243" s="11" t="n">
        <v>1</v>
      </c>
      <c r="D243" s="11" t="n">
        <v>2</v>
      </c>
      <c r="E243" s="25" t="n">
        <v>101.6</v>
      </c>
      <c r="F243" s="25" t="n">
        <v>18.6</v>
      </c>
      <c r="G243" s="11" t="s">
        <v>77</v>
      </c>
      <c r="H243" s="24" t="str">
        <f aca="false">IF(B243="Squat",IF(AND(E243&lt;=Summary!$B$7,OR(F243="",F243&lt;=Summary!$B$8)),"Correct","Incorrect"),IF(AND(E243&lt;=Summary!$B$9,OR(F243="",F243&gt;=Summary!$B$10)),"Correct","Incorrect"))</f>
        <v>Incorrect</v>
      </c>
      <c r="I243" s="26" t="s">
        <v>77</v>
      </c>
      <c r="J243" s="11" t="s">
        <v>78</v>
      </c>
      <c r="K243" s="24" t="str">
        <f aca="false">IF(J243="Yes",IF(I243="Correct","Incorrect","Correct"),I243)</f>
        <v>Incorrect</v>
      </c>
      <c r="L243" s="24" t="str">
        <f aca="false">IF(I243="Incorrect",IF(H243="Incorrect","TP","FN"),IF(H243="Incorrect","FP","TN"))</f>
        <v>TP</v>
      </c>
      <c r="M243" s="24" t="n">
        <f aca="false">IF(H243=I243,1,0)</f>
        <v>1</v>
      </c>
      <c r="N243" s="24" t="n">
        <f aca="false">IF(G243=I243,1,0)</f>
        <v>1</v>
      </c>
      <c r="O243" s="24" t="n">
        <f aca="false">IF(H243=K243,1,0)</f>
        <v>1</v>
      </c>
      <c r="P243" s="24"/>
      <c r="Q243" s="24" t="s">
        <v>95</v>
      </c>
    </row>
    <row r="244" customFormat="false" ht="15" hidden="false" customHeight="false" outlineLevel="0" collapsed="false">
      <c r="A244" s="11" t="s">
        <v>60</v>
      </c>
      <c r="B244" s="11" t="s">
        <v>32</v>
      </c>
      <c r="C244" s="11" t="n">
        <v>1</v>
      </c>
      <c r="D244" s="11" t="n">
        <v>3</v>
      </c>
      <c r="E244" s="25" t="n">
        <v>98</v>
      </c>
      <c r="F244" s="25" t="n">
        <v>18.7</v>
      </c>
      <c r="G244" s="11" t="s">
        <v>77</v>
      </c>
      <c r="H244" s="24" t="str">
        <f aca="false">IF(B244="Squat",IF(AND(E244&lt;=Summary!$B$7,OR(F244="",F244&lt;=Summary!$B$8)),"Correct","Incorrect"),IF(AND(E244&lt;=Summary!$B$9,OR(F244="",F244&gt;=Summary!$B$10)),"Correct","Incorrect"))</f>
        <v>Incorrect</v>
      </c>
      <c r="I244" s="26" t="s">
        <v>77</v>
      </c>
      <c r="J244" s="11" t="s">
        <v>78</v>
      </c>
      <c r="K244" s="24" t="str">
        <f aca="false">IF(J244="Yes",IF(I244="Correct","Incorrect","Correct"),I244)</f>
        <v>Incorrect</v>
      </c>
      <c r="L244" s="24" t="str">
        <f aca="false">IF(I244="Incorrect",IF(H244="Incorrect","TP","FN"),IF(H244="Incorrect","FP","TN"))</f>
        <v>TP</v>
      </c>
      <c r="M244" s="24" t="n">
        <f aca="false">IF(H244=I244,1,0)</f>
        <v>1</v>
      </c>
      <c r="N244" s="24" t="n">
        <f aca="false">IF(G244=I244,1,0)</f>
        <v>1</v>
      </c>
      <c r="O244" s="24" t="n">
        <f aca="false">IF(H244=K244,1,0)</f>
        <v>1</v>
      </c>
      <c r="P244" s="24"/>
      <c r="Q244" s="24" t="s">
        <v>95</v>
      </c>
    </row>
    <row r="245" customFormat="false" ht="15" hidden="false" customHeight="false" outlineLevel="0" collapsed="false">
      <c r="A245" s="11" t="s">
        <v>60</v>
      </c>
      <c r="B245" s="11" t="s">
        <v>32</v>
      </c>
      <c r="C245" s="11" t="n">
        <v>1</v>
      </c>
      <c r="D245" s="11" t="n">
        <v>4</v>
      </c>
      <c r="E245" s="25" t="n">
        <v>98.1</v>
      </c>
      <c r="F245" s="25" t="n">
        <v>19.2</v>
      </c>
      <c r="G245" s="11" t="s">
        <v>77</v>
      </c>
      <c r="H245" s="24" t="str">
        <f aca="false">IF(B245="Squat",IF(AND(E245&lt;=Summary!$B$7,OR(F245="",F245&lt;=Summary!$B$8)),"Correct","Incorrect"),IF(AND(E245&lt;=Summary!$B$9,OR(F245="",F245&gt;=Summary!$B$10)),"Correct","Incorrect"))</f>
        <v>Incorrect</v>
      </c>
      <c r="I245" s="26" t="s">
        <v>77</v>
      </c>
      <c r="J245" s="11" t="s">
        <v>78</v>
      </c>
      <c r="K245" s="24" t="str">
        <f aca="false">IF(J245="Yes",IF(I245="Correct","Incorrect","Correct"),I245)</f>
        <v>Incorrect</v>
      </c>
      <c r="L245" s="24" t="str">
        <f aca="false">IF(I245="Incorrect",IF(H245="Incorrect","TP","FN"),IF(H245="Incorrect","FP","TN"))</f>
        <v>TP</v>
      </c>
      <c r="M245" s="24" t="n">
        <f aca="false">IF(H245=I245,1,0)</f>
        <v>1</v>
      </c>
      <c r="N245" s="24" t="n">
        <f aca="false">IF(G245=I245,1,0)</f>
        <v>1</v>
      </c>
      <c r="O245" s="24" t="n">
        <f aca="false">IF(H245=K245,1,0)</f>
        <v>1</v>
      </c>
      <c r="P245" s="24"/>
      <c r="Q245" s="24" t="s">
        <v>95</v>
      </c>
    </row>
    <row r="246" customFormat="false" ht="15" hidden="false" customHeight="false" outlineLevel="0" collapsed="false">
      <c r="A246" s="11" t="s">
        <v>60</v>
      </c>
      <c r="B246" s="11" t="s">
        <v>32</v>
      </c>
      <c r="C246" s="11" t="n">
        <v>1</v>
      </c>
      <c r="D246" s="11" t="n">
        <v>5</v>
      </c>
      <c r="E246" s="25" t="n">
        <v>98.8</v>
      </c>
      <c r="F246" s="25" t="n">
        <v>20.9</v>
      </c>
      <c r="G246" s="11" t="s">
        <v>77</v>
      </c>
      <c r="H246" s="24" t="str">
        <f aca="false">IF(B246="Squat",IF(AND(E246&lt;=Summary!$B$7,OR(F246="",F246&lt;=Summary!$B$8)),"Correct","Incorrect"),IF(AND(E246&lt;=Summary!$B$9,OR(F246="",F246&gt;=Summary!$B$10)),"Correct","Incorrect"))</f>
        <v>Incorrect</v>
      </c>
      <c r="I246" s="26" t="s">
        <v>77</v>
      </c>
      <c r="J246" s="11" t="s">
        <v>78</v>
      </c>
      <c r="K246" s="24" t="str">
        <f aca="false">IF(J246="Yes",IF(I246="Correct","Incorrect","Correct"),I246)</f>
        <v>Incorrect</v>
      </c>
      <c r="L246" s="24" t="str">
        <f aca="false">IF(I246="Incorrect",IF(H246="Incorrect","TP","FN"),IF(H246="Incorrect","FP","TN"))</f>
        <v>TP</v>
      </c>
      <c r="M246" s="24" t="n">
        <f aca="false">IF(H246=I246,1,0)</f>
        <v>1</v>
      </c>
      <c r="N246" s="24" t="n">
        <f aca="false">IF(G246=I246,1,0)</f>
        <v>1</v>
      </c>
      <c r="O246" s="24" t="n">
        <f aca="false">IF(H246=K246,1,0)</f>
        <v>1</v>
      </c>
      <c r="P246" s="24"/>
      <c r="Q246" s="24" t="s">
        <v>95</v>
      </c>
    </row>
    <row r="247" customFormat="false" ht="15" hidden="false" customHeight="false" outlineLevel="0" collapsed="false">
      <c r="A247" s="11" t="s">
        <v>60</v>
      </c>
      <c r="B247" s="11" t="s">
        <v>32</v>
      </c>
      <c r="C247" s="11" t="n">
        <v>1</v>
      </c>
      <c r="D247" s="11" t="n">
        <v>6</v>
      </c>
      <c r="E247" s="25" t="n">
        <v>100.2</v>
      </c>
      <c r="F247" s="25" t="n">
        <v>20.1</v>
      </c>
      <c r="G247" s="11" t="s">
        <v>77</v>
      </c>
      <c r="H247" s="24" t="str">
        <f aca="false">IF(B247="Squat",IF(AND(E247&lt;=Summary!$B$7,OR(F247="",F247&lt;=Summary!$B$8)),"Correct","Incorrect"),IF(AND(E247&lt;=Summary!$B$9,OR(F247="",F247&gt;=Summary!$B$10)),"Correct","Incorrect"))</f>
        <v>Incorrect</v>
      </c>
      <c r="I247" s="26" t="s">
        <v>77</v>
      </c>
      <c r="J247" s="11" t="s">
        <v>78</v>
      </c>
      <c r="K247" s="24" t="str">
        <f aca="false">IF(J247="Yes",IF(I247="Correct","Incorrect","Correct"),I247)</f>
        <v>Incorrect</v>
      </c>
      <c r="L247" s="24" t="str">
        <f aca="false">IF(I247="Incorrect",IF(H247="Incorrect","TP","FN"),IF(H247="Incorrect","FP","TN"))</f>
        <v>TP</v>
      </c>
      <c r="M247" s="24" t="n">
        <f aca="false">IF(H247=I247,1,0)</f>
        <v>1</v>
      </c>
      <c r="N247" s="24" t="n">
        <f aca="false">IF(G247=I247,1,0)</f>
        <v>1</v>
      </c>
      <c r="O247" s="24" t="n">
        <f aca="false">IF(H247=K247,1,0)</f>
        <v>1</v>
      </c>
      <c r="P247" s="24"/>
      <c r="Q247" s="24" t="s">
        <v>95</v>
      </c>
    </row>
    <row r="248" customFormat="false" ht="15" hidden="false" customHeight="false" outlineLevel="0" collapsed="false">
      <c r="A248" s="11" t="s">
        <v>60</v>
      </c>
      <c r="B248" s="11" t="s">
        <v>32</v>
      </c>
      <c r="C248" s="11" t="n">
        <v>1</v>
      </c>
      <c r="D248" s="11" t="n">
        <v>7</v>
      </c>
      <c r="E248" s="25" t="n">
        <v>96.9</v>
      </c>
      <c r="F248" s="25" t="n">
        <v>17.4</v>
      </c>
      <c r="G248" s="11" t="s">
        <v>77</v>
      </c>
      <c r="H248" s="24" t="str">
        <f aca="false">IF(B248="Squat",IF(AND(E248&lt;=Summary!$B$7,OR(F248="",F248&lt;=Summary!$B$8)),"Correct","Incorrect"),IF(AND(E248&lt;=Summary!$B$9,OR(F248="",F248&gt;=Summary!$B$10)),"Correct","Incorrect"))</f>
        <v>Incorrect</v>
      </c>
      <c r="I248" s="26" t="s">
        <v>77</v>
      </c>
      <c r="J248" s="11" t="s">
        <v>78</v>
      </c>
      <c r="K248" s="24" t="str">
        <f aca="false">IF(J248="Yes",IF(I248="Correct","Incorrect","Correct"),I248)</f>
        <v>Incorrect</v>
      </c>
      <c r="L248" s="24" t="str">
        <f aca="false">IF(I248="Incorrect",IF(H248="Incorrect","TP","FN"),IF(H248="Incorrect","FP","TN"))</f>
        <v>TP</v>
      </c>
      <c r="M248" s="24" t="n">
        <f aca="false">IF(H248=I248,1,0)</f>
        <v>1</v>
      </c>
      <c r="N248" s="24" t="n">
        <f aca="false">IF(G248=I248,1,0)</f>
        <v>1</v>
      </c>
      <c r="O248" s="24" t="n">
        <f aca="false">IF(H248=K248,1,0)</f>
        <v>1</v>
      </c>
      <c r="P248" s="24"/>
      <c r="Q248" s="24" t="s">
        <v>95</v>
      </c>
    </row>
    <row r="249" customFormat="false" ht="15" hidden="false" customHeight="false" outlineLevel="0" collapsed="false">
      <c r="A249" s="11" t="s">
        <v>60</v>
      </c>
      <c r="B249" s="11" t="s">
        <v>32</v>
      </c>
      <c r="C249" s="11" t="n">
        <v>1</v>
      </c>
      <c r="D249" s="11" t="n">
        <v>8</v>
      </c>
      <c r="E249" s="25" t="n">
        <v>100.5</v>
      </c>
      <c r="F249" s="25" t="n">
        <v>20.6</v>
      </c>
      <c r="G249" s="11" t="s">
        <v>77</v>
      </c>
      <c r="H249" s="24" t="str">
        <f aca="false">IF(B249="Squat",IF(AND(E249&lt;=Summary!$B$7,OR(F249="",F249&lt;=Summary!$B$8)),"Correct","Incorrect"),IF(AND(E249&lt;=Summary!$B$9,OR(F249="",F249&gt;=Summary!$B$10)),"Correct","Incorrect"))</f>
        <v>Incorrect</v>
      </c>
      <c r="I249" s="26" t="s">
        <v>77</v>
      </c>
      <c r="J249" s="11" t="s">
        <v>78</v>
      </c>
      <c r="K249" s="24" t="str">
        <f aca="false">IF(J249="Yes",IF(I249="Correct","Incorrect","Correct"),I249)</f>
        <v>Incorrect</v>
      </c>
      <c r="L249" s="24" t="str">
        <f aca="false">IF(I249="Incorrect",IF(H249="Incorrect","TP","FN"),IF(H249="Incorrect","FP","TN"))</f>
        <v>TP</v>
      </c>
      <c r="M249" s="24" t="n">
        <f aca="false">IF(H249=I249,1,0)</f>
        <v>1</v>
      </c>
      <c r="N249" s="24" t="n">
        <f aca="false">IF(G249=I249,1,0)</f>
        <v>1</v>
      </c>
      <c r="O249" s="24" t="n">
        <f aca="false">IF(H249=K249,1,0)</f>
        <v>1</v>
      </c>
      <c r="P249" s="24"/>
      <c r="Q249" s="24" t="s">
        <v>95</v>
      </c>
    </row>
    <row r="250" customFormat="false" ht="15" hidden="false" customHeight="false" outlineLevel="0" collapsed="false">
      <c r="A250" s="11" t="s">
        <v>60</v>
      </c>
      <c r="B250" s="11" t="s">
        <v>32</v>
      </c>
      <c r="C250" s="11" t="n">
        <v>1</v>
      </c>
      <c r="D250" s="11" t="n">
        <v>9</v>
      </c>
      <c r="E250" s="25" t="n">
        <v>95.7</v>
      </c>
      <c r="F250" s="25" t="n">
        <v>22.1</v>
      </c>
      <c r="G250" s="11" t="s">
        <v>77</v>
      </c>
      <c r="H250" s="24" t="str">
        <f aca="false">IF(B250="Squat",IF(AND(E250&lt;=Summary!$B$7,OR(F250="",F250&lt;=Summary!$B$8)),"Correct","Incorrect"),IF(AND(E250&lt;=Summary!$B$9,OR(F250="",F250&gt;=Summary!$B$10)),"Correct","Incorrect"))</f>
        <v>Incorrect</v>
      </c>
      <c r="I250" s="26" t="s">
        <v>77</v>
      </c>
      <c r="J250" s="11" t="s">
        <v>78</v>
      </c>
      <c r="K250" s="24" t="str">
        <f aca="false">IF(J250="Yes",IF(I250="Correct","Incorrect","Correct"),I250)</f>
        <v>Incorrect</v>
      </c>
      <c r="L250" s="24" t="str">
        <f aca="false">IF(I250="Incorrect",IF(H250="Incorrect","TP","FN"),IF(H250="Incorrect","FP","TN"))</f>
        <v>TP</v>
      </c>
      <c r="M250" s="24" t="n">
        <f aca="false">IF(H250=I250,1,0)</f>
        <v>1</v>
      </c>
      <c r="N250" s="24" t="n">
        <f aca="false">IF(G250=I250,1,0)</f>
        <v>1</v>
      </c>
      <c r="O250" s="24" t="n">
        <f aca="false">IF(H250=K250,1,0)</f>
        <v>1</v>
      </c>
      <c r="P250" s="24"/>
      <c r="Q250" s="24" t="s">
        <v>95</v>
      </c>
    </row>
    <row r="251" customFormat="false" ht="15" hidden="false" customHeight="false" outlineLevel="0" collapsed="false">
      <c r="A251" s="11" t="s">
        <v>60</v>
      </c>
      <c r="B251" s="11" t="s">
        <v>32</v>
      </c>
      <c r="C251" s="11" t="n">
        <v>1</v>
      </c>
      <c r="D251" s="11" t="n">
        <v>10</v>
      </c>
      <c r="E251" s="25" t="n">
        <v>92.5</v>
      </c>
      <c r="F251" s="25" t="n">
        <v>20.8</v>
      </c>
      <c r="G251" s="11" t="s">
        <v>77</v>
      </c>
      <c r="H251" s="24" t="str">
        <f aca="false">IF(B251="Squat",IF(AND(E251&lt;=Summary!$B$7,OR(F251="",F251&lt;=Summary!$B$8)),"Correct","Incorrect"),IF(AND(E251&lt;=Summary!$B$9,OR(F251="",F251&gt;=Summary!$B$10)),"Correct","Incorrect"))</f>
        <v>Incorrect</v>
      </c>
      <c r="I251" s="26" t="s">
        <v>77</v>
      </c>
      <c r="J251" s="11" t="s">
        <v>78</v>
      </c>
      <c r="K251" s="24" t="str">
        <f aca="false">IF(J251="Yes",IF(I251="Correct","Incorrect","Correct"),I251)</f>
        <v>Incorrect</v>
      </c>
      <c r="L251" s="24" t="str">
        <f aca="false">IF(I251="Incorrect",IF(H251="Incorrect","TP","FN"),IF(H251="Incorrect","FP","TN"))</f>
        <v>TP</v>
      </c>
      <c r="M251" s="24" t="n">
        <f aca="false">IF(H251=I251,1,0)</f>
        <v>1</v>
      </c>
      <c r="N251" s="24" t="n">
        <f aca="false">IF(G251=I251,1,0)</f>
        <v>1</v>
      </c>
      <c r="O251" s="24" t="n">
        <f aca="false">IF(H251=K251,1,0)</f>
        <v>1</v>
      </c>
      <c r="P251" s="24"/>
      <c r="Q251" s="24" t="s">
        <v>95</v>
      </c>
    </row>
    <row r="252" customFormat="false" ht="15" hidden="false" customHeight="false" outlineLevel="0" collapsed="false">
      <c r="A252" s="11" t="s">
        <v>60</v>
      </c>
      <c r="B252" s="11" t="s">
        <v>32</v>
      </c>
      <c r="C252" s="11" t="n">
        <v>2</v>
      </c>
      <c r="D252" s="11" t="n">
        <v>1</v>
      </c>
      <c r="E252" s="25" t="n">
        <v>95</v>
      </c>
      <c r="F252" s="25" t="n">
        <v>26.3</v>
      </c>
      <c r="G252" s="11" t="s">
        <v>77</v>
      </c>
      <c r="H252" s="24" t="str">
        <f aca="false">IF(B252="Squat",IF(AND(E252&lt;=Summary!$B$7,OR(F252="",F252&lt;=Summary!$B$8)),"Correct","Incorrect"),IF(AND(E252&lt;=Summary!$B$9,OR(F252="",F252&gt;=Summary!$B$10)),"Correct","Incorrect"))</f>
        <v>Incorrect</v>
      </c>
      <c r="I252" s="26" t="s">
        <v>77</v>
      </c>
      <c r="J252" s="11" t="s">
        <v>78</v>
      </c>
      <c r="K252" s="24" t="str">
        <f aca="false">IF(J252="Yes",IF(I252="Correct","Incorrect","Correct"),I252)</f>
        <v>Incorrect</v>
      </c>
      <c r="L252" s="24" t="str">
        <f aca="false">IF(I252="Incorrect",IF(H252="Incorrect","TP","FN"),IF(H252="Incorrect","FP","TN"))</f>
        <v>TP</v>
      </c>
      <c r="M252" s="24" t="n">
        <f aca="false">IF(H252=I252,1,0)</f>
        <v>1</v>
      </c>
      <c r="N252" s="24" t="n">
        <f aca="false">IF(G252=I252,1,0)</f>
        <v>1</v>
      </c>
      <c r="O252" s="24" t="n">
        <f aca="false">IF(H252=K252,1,0)</f>
        <v>1</v>
      </c>
      <c r="P252" s="24"/>
      <c r="Q252" s="24" t="s">
        <v>95</v>
      </c>
    </row>
    <row r="253" customFormat="false" ht="15" hidden="false" customHeight="false" outlineLevel="0" collapsed="false">
      <c r="A253" s="11" t="s">
        <v>60</v>
      </c>
      <c r="B253" s="11" t="s">
        <v>32</v>
      </c>
      <c r="C253" s="11" t="n">
        <v>2</v>
      </c>
      <c r="D253" s="11" t="n">
        <v>2</v>
      </c>
      <c r="E253" s="25" t="n">
        <v>103.2</v>
      </c>
      <c r="F253" s="25" t="n">
        <v>18.1</v>
      </c>
      <c r="G253" s="11" t="s">
        <v>77</v>
      </c>
      <c r="H253" s="24" t="str">
        <f aca="false">IF(B253="Squat",IF(AND(E253&lt;=Summary!$B$7,OR(F253="",F253&lt;=Summary!$B$8)),"Correct","Incorrect"),IF(AND(E253&lt;=Summary!$B$9,OR(F253="",F253&gt;=Summary!$B$10)),"Correct","Incorrect"))</f>
        <v>Incorrect</v>
      </c>
      <c r="I253" s="26" t="s">
        <v>77</v>
      </c>
      <c r="J253" s="11" t="s">
        <v>78</v>
      </c>
      <c r="K253" s="24" t="str">
        <f aca="false">IF(J253="Yes",IF(I253="Correct","Incorrect","Correct"),I253)</f>
        <v>Incorrect</v>
      </c>
      <c r="L253" s="24" t="str">
        <f aca="false">IF(I253="Incorrect",IF(H253="Incorrect","TP","FN"),IF(H253="Incorrect","FP","TN"))</f>
        <v>TP</v>
      </c>
      <c r="M253" s="24" t="n">
        <f aca="false">IF(H253=I253,1,0)</f>
        <v>1</v>
      </c>
      <c r="N253" s="24" t="n">
        <f aca="false">IF(G253=I253,1,0)</f>
        <v>1</v>
      </c>
      <c r="O253" s="24" t="n">
        <f aca="false">IF(H253=K253,1,0)</f>
        <v>1</v>
      </c>
      <c r="P253" s="24"/>
      <c r="Q253" s="24" t="s">
        <v>95</v>
      </c>
    </row>
    <row r="254" customFormat="false" ht="15" hidden="false" customHeight="false" outlineLevel="0" collapsed="false">
      <c r="A254" s="11" t="s">
        <v>60</v>
      </c>
      <c r="B254" s="11" t="s">
        <v>32</v>
      </c>
      <c r="C254" s="11" t="n">
        <v>2</v>
      </c>
      <c r="D254" s="11" t="n">
        <v>3</v>
      </c>
      <c r="E254" s="25" t="n">
        <v>102.7</v>
      </c>
      <c r="F254" s="25" t="n">
        <v>17.3</v>
      </c>
      <c r="G254" s="11" t="s">
        <v>77</v>
      </c>
      <c r="H254" s="24" t="str">
        <f aca="false">IF(B254="Squat",IF(AND(E254&lt;=Summary!$B$7,OR(F254="",F254&lt;=Summary!$B$8)),"Correct","Incorrect"),IF(AND(E254&lt;=Summary!$B$9,OR(F254="",F254&gt;=Summary!$B$10)),"Correct","Incorrect"))</f>
        <v>Incorrect</v>
      </c>
      <c r="I254" s="26" t="s">
        <v>77</v>
      </c>
      <c r="J254" s="11" t="s">
        <v>78</v>
      </c>
      <c r="K254" s="24" t="str">
        <f aca="false">IF(J254="Yes",IF(I254="Correct","Incorrect","Correct"),I254)</f>
        <v>Incorrect</v>
      </c>
      <c r="L254" s="24" t="str">
        <f aca="false">IF(I254="Incorrect",IF(H254="Incorrect","TP","FN"),IF(H254="Incorrect","FP","TN"))</f>
        <v>TP</v>
      </c>
      <c r="M254" s="24" t="n">
        <f aca="false">IF(H254=I254,1,0)</f>
        <v>1</v>
      </c>
      <c r="N254" s="24" t="n">
        <f aca="false">IF(G254=I254,1,0)</f>
        <v>1</v>
      </c>
      <c r="O254" s="24" t="n">
        <f aca="false">IF(H254=K254,1,0)</f>
        <v>1</v>
      </c>
      <c r="P254" s="24"/>
      <c r="Q254" s="24" t="s">
        <v>95</v>
      </c>
    </row>
    <row r="255" customFormat="false" ht="15" hidden="false" customHeight="false" outlineLevel="0" collapsed="false">
      <c r="A255" s="11" t="s">
        <v>60</v>
      </c>
      <c r="B255" s="11" t="s">
        <v>32</v>
      </c>
      <c r="C255" s="11" t="n">
        <v>2</v>
      </c>
      <c r="D255" s="11" t="n">
        <v>4</v>
      </c>
      <c r="E255" s="25" t="n">
        <v>106.3</v>
      </c>
      <c r="F255" s="25" t="n">
        <v>17.9</v>
      </c>
      <c r="G255" s="11" t="s">
        <v>77</v>
      </c>
      <c r="H255" s="24" t="str">
        <f aca="false">IF(B255="Squat",IF(AND(E255&lt;=Summary!$B$7,OR(F255="",F255&lt;=Summary!$B$8)),"Correct","Incorrect"),IF(AND(E255&lt;=Summary!$B$9,OR(F255="",F255&gt;=Summary!$B$10)),"Correct","Incorrect"))</f>
        <v>Incorrect</v>
      </c>
      <c r="I255" s="26" t="s">
        <v>77</v>
      </c>
      <c r="J255" s="11" t="s">
        <v>78</v>
      </c>
      <c r="K255" s="24" t="str">
        <f aca="false">IF(J255="Yes",IF(I255="Correct","Incorrect","Correct"),I255)</f>
        <v>Incorrect</v>
      </c>
      <c r="L255" s="24" t="str">
        <f aca="false">IF(I255="Incorrect",IF(H255="Incorrect","TP","FN"),IF(H255="Incorrect","FP","TN"))</f>
        <v>TP</v>
      </c>
      <c r="M255" s="24" t="n">
        <f aca="false">IF(H255=I255,1,0)</f>
        <v>1</v>
      </c>
      <c r="N255" s="24" t="n">
        <f aca="false">IF(G255=I255,1,0)</f>
        <v>1</v>
      </c>
      <c r="O255" s="24" t="n">
        <f aca="false">IF(H255=K255,1,0)</f>
        <v>1</v>
      </c>
      <c r="P255" s="24"/>
      <c r="Q255" s="24" t="s">
        <v>95</v>
      </c>
    </row>
    <row r="256" customFormat="false" ht="15" hidden="false" customHeight="false" outlineLevel="0" collapsed="false">
      <c r="A256" s="11" t="s">
        <v>60</v>
      </c>
      <c r="B256" s="11" t="s">
        <v>32</v>
      </c>
      <c r="C256" s="11" t="n">
        <v>2</v>
      </c>
      <c r="D256" s="11" t="n">
        <v>5</v>
      </c>
      <c r="E256" s="25" t="n">
        <v>102.8</v>
      </c>
      <c r="F256" s="25" t="n">
        <v>20.6</v>
      </c>
      <c r="G256" s="11" t="s">
        <v>77</v>
      </c>
      <c r="H256" s="24" t="str">
        <f aca="false">IF(B256="Squat",IF(AND(E256&lt;=Summary!$B$7,OR(F256="",F256&lt;=Summary!$B$8)),"Correct","Incorrect"),IF(AND(E256&lt;=Summary!$B$9,OR(F256="",F256&gt;=Summary!$B$10)),"Correct","Incorrect"))</f>
        <v>Incorrect</v>
      </c>
      <c r="I256" s="26" t="s">
        <v>77</v>
      </c>
      <c r="J256" s="11" t="s">
        <v>78</v>
      </c>
      <c r="K256" s="24" t="str">
        <f aca="false">IF(J256="Yes",IF(I256="Correct","Incorrect","Correct"),I256)</f>
        <v>Incorrect</v>
      </c>
      <c r="L256" s="24" t="str">
        <f aca="false">IF(I256="Incorrect",IF(H256="Incorrect","TP","FN"),IF(H256="Incorrect","FP","TN"))</f>
        <v>TP</v>
      </c>
      <c r="M256" s="24" t="n">
        <f aca="false">IF(H256=I256,1,0)</f>
        <v>1</v>
      </c>
      <c r="N256" s="24" t="n">
        <f aca="false">IF(G256=I256,1,0)</f>
        <v>1</v>
      </c>
      <c r="O256" s="24" t="n">
        <f aca="false">IF(H256=K256,1,0)</f>
        <v>1</v>
      </c>
      <c r="P256" s="24"/>
      <c r="Q256" s="24" t="s">
        <v>95</v>
      </c>
    </row>
    <row r="257" customFormat="false" ht="15" hidden="false" customHeight="false" outlineLevel="0" collapsed="false">
      <c r="A257" s="11" t="s">
        <v>60</v>
      </c>
      <c r="B257" s="11" t="s">
        <v>32</v>
      </c>
      <c r="C257" s="11" t="n">
        <v>2</v>
      </c>
      <c r="D257" s="11" t="n">
        <v>6</v>
      </c>
      <c r="E257" s="25" t="n">
        <v>102.9</v>
      </c>
      <c r="F257" s="25" t="n">
        <v>16.8</v>
      </c>
      <c r="G257" s="11" t="s">
        <v>77</v>
      </c>
      <c r="H257" s="24" t="str">
        <f aca="false">IF(B257="Squat",IF(AND(E257&lt;=Summary!$B$7,OR(F257="",F257&lt;=Summary!$B$8)),"Correct","Incorrect"),IF(AND(E257&lt;=Summary!$B$9,OR(F257="",F257&gt;=Summary!$B$10)),"Correct","Incorrect"))</f>
        <v>Incorrect</v>
      </c>
      <c r="I257" s="26" t="s">
        <v>77</v>
      </c>
      <c r="J257" s="11" t="s">
        <v>78</v>
      </c>
      <c r="K257" s="24" t="str">
        <f aca="false">IF(J257="Yes",IF(I257="Correct","Incorrect","Correct"),I257)</f>
        <v>Incorrect</v>
      </c>
      <c r="L257" s="24" t="str">
        <f aca="false">IF(I257="Incorrect",IF(H257="Incorrect","TP","FN"),IF(H257="Incorrect","FP","TN"))</f>
        <v>TP</v>
      </c>
      <c r="M257" s="24" t="n">
        <f aca="false">IF(H257=I257,1,0)</f>
        <v>1</v>
      </c>
      <c r="N257" s="24" t="n">
        <f aca="false">IF(G257=I257,1,0)</f>
        <v>1</v>
      </c>
      <c r="O257" s="24" t="n">
        <f aca="false">IF(H257=K257,1,0)</f>
        <v>1</v>
      </c>
      <c r="P257" s="24"/>
      <c r="Q257" s="24" t="s">
        <v>95</v>
      </c>
    </row>
    <row r="258" customFormat="false" ht="15" hidden="false" customHeight="false" outlineLevel="0" collapsed="false">
      <c r="A258" s="11" t="s">
        <v>60</v>
      </c>
      <c r="B258" s="11" t="s">
        <v>32</v>
      </c>
      <c r="C258" s="11" t="n">
        <v>2</v>
      </c>
      <c r="D258" s="11" t="n">
        <v>7</v>
      </c>
      <c r="E258" s="25" t="n">
        <v>99.9</v>
      </c>
      <c r="F258" s="25" t="n">
        <v>18.5</v>
      </c>
      <c r="G258" s="11" t="s">
        <v>77</v>
      </c>
      <c r="H258" s="24" t="str">
        <f aca="false">IF(B258="Squat",IF(AND(E258&lt;=Summary!$B$7,OR(F258="",F258&lt;=Summary!$B$8)),"Correct","Incorrect"),IF(AND(E258&lt;=Summary!$B$9,OR(F258="",F258&gt;=Summary!$B$10)),"Correct","Incorrect"))</f>
        <v>Incorrect</v>
      </c>
      <c r="I258" s="26" t="s">
        <v>77</v>
      </c>
      <c r="J258" s="11" t="s">
        <v>78</v>
      </c>
      <c r="K258" s="24" t="str">
        <f aca="false">IF(J258="Yes",IF(I258="Correct","Incorrect","Correct"),I258)</f>
        <v>Incorrect</v>
      </c>
      <c r="L258" s="24" t="str">
        <f aca="false">IF(I258="Incorrect",IF(H258="Incorrect","TP","FN"),IF(H258="Incorrect","FP","TN"))</f>
        <v>TP</v>
      </c>
      <c r="M258" s="24" t="n">
        <f aca="false">IF(H258=I258,1,0)</f>
        <v>1</v>
      </c>
      <c r="N258" s="24" t="n">
        <f aca="false">IF(G258=I258,1,0)</f>
        <v>1</v>
      </c>
      <c r="O258" s="24" t="n">
        <f aca="false">IF(H258=K258,1,0)</f>
        <v>1</v>
      </c>
      <c r="P258" s="24"/>
      <c r="Q258" s="24" t="s">
        <v>95</v>
      </c>
    </row>
    <row r="259" customFormat="false" ht="15" hidden="false" customHeight="false" outlineLevel="0" collapsed="false">
      <c r="A259" s="11" t="s">
        <v>60</v>
      </c>
      <c r="B259" s="11" t="s">
        <v>32</v>
      </c>
      <c r="C259" s="11" t="n">
        <v>2</v>
      </c>
      <c r="D259" s="11" t="n">
        <v>8</v>
      </c>
      <c r="E259" s="25" t="n">
        <v>99.8</v>
      </c>
      <c r="F259" s="25" t="n">
        <v>16.3</v>
      </c>
      <c r="G259" s="11" t="s">
        <v>77</v>
      </c>
      <c r="H259" s="24" t="str">
        <f aca="false">IF(B259="Squat",IF(AND(E259&lt;=Summary!$B$7,OR(F259="",F259&lt;=Summary!$B$8)),"Correct","Incorrect"),IF(AND(E259&lt;=Summary!$B$9,OR(F259="",F259&gt;=Summary!$B$10)),"Correct","Incorrect"))</f>
        <v>Incorrect</v>
      </c>
      <c r="I259" s="26" t="s">
        <v>77</v>
      </c>
      <c r="J259" s="11" t="s">
        <v>78</v>
      </c>
      <c r="K259" s="24" t="str">
        <f aca="false">IF(J259="Yes",IF(I259="Correct","Incorrect","Correct"),I259)</f>
        <v>Incorrect</v>
      </c>
      <c r="L259" s="24" t="str">
        <f aca="false">IF(I259="Incorrect",IF(H259="Incorrect","TP","FN"),IF(H259="Incorrect","FP","TN"))</f>
        <v>TP</v>
      </c>
      <c r="M259" s="24" t="n">
        <f aca="false">IF(H259=I259,1,0)</f>
        <v>1</v>
      </c>
      <c r="N259" s="24" t="n">
        <f aca="false">IF(G259=I259,1,0)</f>
        <v>1</v>
      </c>
      <c r="O259" s="24" t="n">
        <f aca="false">IF(H259=K259,1,0)</f>
        <v>1</v>
      </c>
      <c r="P259" s="24"/>
      <c r="Q259" s="24" t="s">
        <v>95</v>
      </c>
    </row>
    <row r="260" customFormat="false" ht="15" hidden="false" customHeight="false" outlineLevel="0" collapsed="false">
      <c r="A260" s="11" t="s">
        <v>60</v>
      </c>
      <c r="B260" s="11" t="s">
        <v>32</v>
      </c>
      <c r="C260" s="11" t="n">
        <v>2</v>
      </c>
      <c r="D260" s="11" t="n">
        <v>9</v>
      </c>
      <c r="E260" s="25" t="n">
        <v>97.3</v>
      </c>
      <c r="F260" s="25" t="n">
        <v>21.8</v>
      </c>
      <c r="G260" s="11" t="s">
        <v>77</v>
      </c>
      <c r="H260" s="24" t="str">
        <f aca="false">IF(B260="Squat",IF(AND(E260&lt;=Summary!$B$7,OR(F260="",F260&lt;=Summary!$B$8)),"Correct","Incorrect"),IF(AND(E260&lt;=Summary!$B$9,OR(F260="",F260&gt;=Summary!$B$10)),"Correct","Incorrect"))</f>
        <v>Incorrect</v>
      </c>
      <c r="I260" s="26" t="s">
        <v>77</v>
      </c>
      <c r="J260" s="11" t="s">
        <v>78</v>
      </c>
      <c r="K260" s="24" t="str">
        <f aca="false">IF(J260="Yes",IF(I260="Correct","Incorrect","Correct"),I260)</f>
        <v>Incorrect</v>
      </c>
      <c r="L260" s="24" t="str">
        <f aca="false">IF(I260="Incorrect",IF(H260="Incorrect","TP","FN"),IF(H260="Incorrect","FP","TN"))</f>
        <v>TP</v>
      </c>
      <c r="M260" s="24" t="n">
        <f aca="false">IF(H260=I260,1,0)</f>
        <v>1</v>
      </c>
      <c r="N260" s="24" t="n">
        <f aca="false">IF(G260=I260,1,0)</f>
        <v>1</v>
      </c>
      <c r="O260" s="24" t="n">
        <f aca="false">IF(H260=K260,1,0)</f>
        <v>1</v>
      </c>
      <c r="P260" s="24"/>
      <c r="Q260" s="24" t="s">
        <v>95</v>
      </c>
    </row>
    <row r="261" customFormat="false" ht="15" hidden="false" customHeight="false" outlineLevel="0" collapsed="false">
      <c r="A261" s="11" t="s">
        <v>60</v>
      </c>
      <c r="B261" s="11" t="s">
        <v>32</v>
      </c>
      <c r="C261" s="11" t="n">
        <v>2</v>
      </c>
      <c r="D261" s="11" t="n">
        <v>10</v>
      </c>
      <c r="E261" s="25" t="n">
        <v>99.8</v>
      </c>
      <c r="F261" s="25" t="n">
        <v>20.4</v>
      </c>
      <c r="G261" s="11" t="s">
        <v>77</v>
      </c>
      <c r="H261" s="24" t="str">
        <f aca="false">IF(B261="Squat",IF(AND(E261&lt;=Summary!$B$7,OR(F261="",F261&lt;=Summary!$B$8)),"Correct","Incorrect"),IF(AND(E261&lt;=Summary!$B$9,OR(F261="",F261&gt;=Summary!$B$10)),"Correct","Incorrect"))</f>
        <v>Incorrect</v>
      </c>
      <c r="I261" s="26" t="s">
        <v>77</v>
      </c>
      <c r="J261" s="11" t="s">
        <v>78</v>
      </c>
      <c r="K261" s="24" t="str">
        <f aca="false">IF(J261="Yes",IF(I261="Correct","Incorrect","Correct"),I261)</f>
        <v>Incorrect</v>
      </c>
      <c r="L261" s="24" t="str">
        <f aca="false">IF(I261="Incorrect",IF(H261="Incorrect","TP","FN"),IF(H261="Incorrect","FP","TN"))</f>
        <v>TP</v>
      </c>
      <c r="M261" s="24" t="n">
        <f aca="false">IF(H261=I261,1,0)</f>
        <v>1</v>
      </c>
      <c r="N261" s="24" t="n">
        <f aca="false">IF(G261=I261,1,0)</f>
        <v>1</v>
      </c>
      <c r="O261" s="24" t="n">
        <f aca="false">IF(H261=K261,1,0)</f>
        <v>1</v>
      </c>
      <c r="P261" s="24"/>
      <c r="Q261" s="24" t="s">
        <v>95</v>
      </c>
    </row>
    <row r="262" customFormat="false" ht="15" hidden="false" customHeight="false" outlineLevel="0" collapsed="false">
      <c r="A262" s="11" t="s">
        <v>60</v>
      </c>
      <c r="B262" s="11" t="s">
        <v>32</v>
      </c>
      <c r="C262" s="11" t="n">
        <v>3</v>
      </c>
      <c r="D262" s="11" t="n">
        <v>1</v>
      </c>
      <c r="E262" s="25" t="n">
        <v>99.9</v>
      </c>
      <c r="F262" s="25" t="n">
        <v>16.5</v>
      </c>
      <c r="G262" s="11" t="s">
        <v>77</v>
      </c>
      <c r="H262" s="24" t="str">
        <f aca="false">IF(B262="Squat",IF(AND(E262&lt;=Summary!$B$7,OR(F262="",F262&lt;=Summary!$B$8)),"Correct","Incorrect"),IF(AND(E262&lt;=Summary!$B$9,OR(F262="",F262&gt;=Summary!$B$10)),"Correct","Incorrect"))</f>
        <v>Incorrect</v>
      </c>
      <c r="I262" s="26" t="s">
        <v>77</v>
      </c>
      <c r="J262" s="11" t="s">
        <v>78</v>
      </c>
      <c r="K262" s="24" t="str">
        <f aca="false">IF(J262="Yes",IF(I262="Correct","Incorrect","Correct"),I262)</f>
        <v>Incorrect</v>
      </c>
      <c r="L262" s="24" t="str">
        <f aca="false">IF(I262="Incorrect",IF(H262="Incorrect","TP","FN"),IF(H262="Incorrect","FP","TN"))</f>
        <v>TP</v>
      </c>
      <c r="M262" s="24" t="n">
        <f aca="false">IF(H262=I262,1,0)</f>
        <v>1</v>
      </c>
      <c r="N262" s="24" t="n">
        <f aca="false">IF(G262=I262,1,0)</f>
        <v>1</v>
      </c>
      <c r="O262" s="24" t="n">
        <f aca="false">IF(H262=K262,1,0)</f>
        <v>1</v>
      </c>
      <c r="P262" s="24"/>
      <c r="Q262" s="24" t="s">
        <v>95</v>
      </c>
    </row>
    <row r="263" customFormat="false" ht="15" hidden="false" customHeight="false" outlineLevel="0" collapsed="false">
      <c r="A263" s="11" t="s">
        <v>60</v>
      </c>
      <c r="B263" s="11" t="s">
        <v>32</v>
      </c>
      <c r="C263" s="11" t="n">
        <v>3</v>
      </c>
      <c r="D263" s="11" t="n">
        <v>2</v>
      </c>
      <c r="E263" s="25" t="n">
        <v>99.4</v>
      </c>
      <c r="F263" s="25" t="n">
        <v>13.9</v>
      </c>
      <c r="G263" s="11" t="s">
        <v>77</v>
      </c>
      <c r="H263" s="24" t="str">
        <f aca="false">IF(B263="Squat",IF(AND(E263&lt;=Summary!$B$7,OR(F263="",F263&lt;=Summary!$B$8)),"Correct","Incorrect"),IF(AND(E263&lt;=Summary!$B$9,OR(F263="",F263&gt;=Summary!$B$10)),"Correct","Incorrect"))</f>
        <v>Incorrect</v>
      </c>
      <c r="I263" s="26" t="s">
        <v>77</v>
      </c>
      <c r="J263" s="11" t="s">
        <v>78</v>
      </c>
      <c r="K263" s="24" t="str">
        <f aca="false">IF(J263="Yes",IF(I263="Correct","Incorrect","Correct"),I263)</f>
        <v>Incorrect</v>
      </c>
      <c r="L263" s="24" t="str">
        <f aca="false">IF(I263="Incorrect",IF(H263="Incorrect","TP","FN"),IF(H263="Incorrect","FP","TN"))</f>
        <v>TP</v>
      </c>
      <c r="M263" s="24" t="n">
        <f aca="false">IF(H263=I263,1,0)</f>
        <v>1</v>
      </c>
      <c r="N263" s="24" t="n">
        <f aca="false">IF(G263=I263,1,0)</f>
        <v>1</v>
      </c>
      <c r="O263" s="24" t="n">
        <f aca="false">IF(H263=K263,1,0)</f>
        <v>1</v>
      </c>
      <c r="P263" s="24"/>
      <c r="Q263" s="24" t="s">
        <v>95</v>
      </c>
    </row>
    <row r="264" customFormat="false" ht="15" hidden="false" customHeight="false" outlineLevel="0" collapsed="false">
      <c r="A264" s="11" t="s">
        <v>60</v>
      </c>
      <c r="B264" s="11" t="s">
        <v>32</v>
      </c>
      <c r="C264" s="11" t="n">
        <v>3</v>
      </c>
      <c r="D264" s="11" t="n">
        <v>3</v>
      </c>
      <c r="E264" s="25" t="n">
        <v>103.4</v>
      </c>
      <c r="F264" s="25" t="n">
        <v>15.9</v>
      </c>
      <c r="G264" s="11" t="s">
        <v>77</v>
      </c>
      <c r="H264" s="24" t="str">
        <f aca="false">IF(B264="Squat",IF(AND(E264&lt;=Summary!$B$7,OR(F264="",F264&lt;=Summary!$B$8)),"Correct","Incorrect"),IF(AND(E264&lt;=Summary!$B$9,OR(F264="",F264&gt;=Summary!$B$10)),"Correct","Incorrect"))</f>
        <v>Incorrect</v>
      </c>
      <c r="I264" s="26" t="s">
        <v>77</v>
      </c>
      <c r="J264" s="11" t="s">
        <v>78</v>
      </c>
      <c r="K264" s="24" t="str">
        <f aca="false">IF(J264="Yes",IF(I264="Correct","Incorrect","Correct"),I264)</f>
        <v>Incorrect</v>
      </c>
      <c r="L264" s="24" t="str">
        <f aca="false">IF(I264="Incorrect",IF(H264="Incorrect","TP","FN"),IF(H264="Incorrect","FP","TN"))</f>
        <v>TP</v>
      </c>
      <c r="M264" s="24" t="n">
        <f aca="false">IF(H264=I264,1,0)</f>
        <v>1</v>
      </c>
      <c r="N264" s="24" t="n">
        <f aca="false">IF(G264=I264,1,0)</f>
        <v>1</v>
      </c>
      <c r="O264" s="24" t="n">
        <f aca="false">IF(H264=K264,1,0)</f>
        <v>1</v>
      </c>
      <c r="P264" s="24"/>
      <c r="Q264" s="24" t="s">
        <v>95</v>
      </c>
    </row>
    <row r="265" customFormat="false" ht="15" hidden="false" customHeight="false" outlineLevel="0" collapsed="false">
      <c r="A265" s="11" t="s">
        <v>60</v>
      </c>
      <c r="B265" s="11" t="s">
        <v>32</v>
      </c>
      <c r="C265" s="11" t="n">
        <v>3</v>
      </c>
      <c r="D265" s="11" t="n">
        <v>4</v>
      </c>
      <c r="E265" s="25" t="n">
        <v>103.6</v>
      </c>
      <c r="F265" s="25" t="n">
        <v>14.7</v>
      </c>
      <c r="G265" s="11" t="s">
        <v>77</v>
      </c>
      <c r="H265" s="24" t="str">
        <f aca="false">IF(B265="Squat",IF(AND(E265&lt;=Summary!$B$7,OR(F265="",F265&lt;=Summary!$B$8)),"Correct","Incorrect"),IF(AND(E265&lt;=Summary!$B$9,OR(F265="",F265&gt;=Summary!$B$10)),"Correct","Incorrect"))</f>
        <v>Incorrect</v>
      </c>
      <c r="I265" s="26" t="s">
        <v>77</v>
      </c>
      <c r="J265" s="11" t="s">
        <v>78</v>
      </c>
      <c r="K265" s="24" t="str">
        <f aca="false">IF(J265="Yes",IF(I265="Correct","Incorrect","Correct"),I265)</f>
        <v>Incorrect</v>
      </c>
      <c r="L265" s="24" t="str">
        <f aca="false">IF(I265="Incorrect",IF(H265="Incorrect","TP","FN"),IF(H265="Incorrect","FP","TN"))</f>
        <v>TP</v>
      </c>
      <c r="M265" s="24" t="n">
        <f aca="false">IF(H265=I265,1,0)</f>
        <v>1</v>
      </c>
      <c r="N265" s="24" t="n">
        <f aca="false">IF(G265=I265,1,0)</f>
        <v>1</v>
      </c>
      <c r="O265" s="24" t="n">
        <f aca="false">IF(H265=K265,1,0)</f>
        <v>1</v>
      </c>
      <c r="P265" s="24"/>
      <c r="Q265" s="24" t="s">
        <v>95</v>
      </c>
    </row>
    <row r="266" customFormat="false" ht="15" hidden="false" customHeight="false" outlineLevel="0" collapsed="false">
      <c r="A266" s="11" t="s">
        <v>60</v>
      </c>
      <c r="B266" s="11" t="s">
        <v>32</v>
      </c>
      <c r="C266" s="11" t="n">
        <v>3</v>
      </c>
      <c r="D266" s="11" t="n">
        <v>5</v>
      </c>
      <c r="E266" s="25" t="n">
        <v>101.8</v>
      </c>
      <c r="F266" s="25" t="n">
        <v>18.9</v>
      </c>
      <c r="G266" s="11" t="s">
        <v>77</v>
      </c>
      <c r="H266" s="24" t="str">
        <f aca="false">IF(B266="Squat",IF(AND(E266&lt;=Summary!$B$7,OR(F266="",F266&lt;=Summary!$B$8)),"Correct","Incorrect"),IF(AND(E266&lt;=Summary!$B$9,OR(F266="",F266&gt;=Summary!$B$10)),"Correct","Incorrect"))</f>
        <v>Incorrect</v>
      </c>
      <c r="I266" s="26" t="s">
        <v>77</v>
      </c>
      <c r="J266" s="11" t="s">
        <v>78</v>
      </c>
      <c r="K266" s="24" t="str">
        <f aca="false">IF(J266="Yes",IF(I266="Correct","Incorrect","Correct"),I266)</f>
        <v>Incorrect</v>
      </c>
      <c r="L266" s="24" t="str">
        <f aca="false">IF(I266="Incorrect",IF(H266="Incorrect","TP","FN"),IF(H266="Incorrect","FP","TN"))</f>
        <v>TP</v>
      </c>
      <c r="M266" s="24" t="n">
        <f aca="false">IF(H266=I266,1,0)</f>
        <v>1</v>
      </c>
      <c r="N266" s="24" t="n">
        <f aca="false">IF(G266=I266,1,0)</f>
        <v>1</v>
      </c>
      <c r="O266" s="24" t="n">
        <f aca="false">IF(H266=K266,1,0)</f>
        <v>1</v>
      </c>
      <c r="P266" s="24"/>
      <c r="Q266" s="24" t="s">
        <v>95</v>
      </c>
    </row>
    <row r="267" customFormat="false" ht="15" hidden="false" customHeight="false" outlineLevel="0" collapsed="false">
      <c r="A267" s="11" t="s">
        <v>60</v>
      </c>
      <c r="B267" s="11" t="s">
        <v>32</v>
      </c>
      <c r="C267" s="11" t="n">
        <v>3</v>
      </c>
      <c r="D267" s="11" t="n">
        <v>6</v>
      </c>
      <c r="E267" s="25" t="n">
        <v>99.6</v>
      </c>
      <c r="F267" s="25" t="n">
        <v>13.1</v>
      </c>
      <c r="G267" s="11" t="s">
        <v>77</v>
      </c>
      <c r="H267" s="24" t="str">
        <f aca="false">IF(B267="Squat",IF(AND(E267&lt;=Summary!$B$7,OR(F267="",F267&lt;=Summary!$B$8)),"Correct","Incorrect"),IF(AND(E267&lt;=Summary!$B$9,OR(F267="",F267&gt;=Summary!$B$10)),"Correct","Incorrect"))</f>
        <v>Incorrect</v>
      </c>
      <c r="I267" s="26" t="s">
        <v>77</v>
      </c>
      <c r="J267" s="11" t="s">
        <v>78</v>
      </c>
      <c r="K267" s="24" t="str">
        <f aca="false">IF(J267="Yes",IF(I267="Correct","Incorrect","Correct"),I267)</f>
        <v>Incorrect</v>
      </c>
      <c r="L267" s="24" t="str">
        <f aca="false">IF(I267="Incorrect",IF(H267="Incorrect","TP","FN"),IF(H267="Incorrect","FP","TN"))</f>
        <v>TP</v>
      </c>
      <c r="M267" s="24" t="n">
        <f aca="false">IF(H267=I267,1,0)</f>
        <v>1</v>
      </c>
      <c r="N267" s="24" t="n">
        <f aca="false">IF(G267=I267,1,0)</f>
        <v>1</v>
      </c>
      <c r="O267" s="24" t="n">
        <f aca="false">IF(H267=K267,1,0)</f>
        <v>1</v>
      </c>
      <c r="P267" s="24"/>
      <c r="Q267" s="24" t="s">
        <v>95</v>
      </c>
    </row>
    <row r="268" customFormat="false" ht="15" hidden="false" customHeight="false" outlineLevel="0" collapsed="false">
      <c r="A268" s="11" t="s">
        <v>60</v>
      </c>
      <c r="B268" s="11" t="s">
        <v>32</v>
      </c>
      <c r="C268" s="11" t="n">
        <v>3</v>
      </c>
      <c r="D268" s="11" t="n">
        <v>7</v>
      </c>
      <c r="E268" s="25" t="n">
        <v>102.8</v>
      </c>
      <c r="F268" s="25" t="n">
        <v>11.1</v>
      </c>
      <c r="G268" s="11" t="s">
        <v>77</v>
      </c>
      <c r="H268" s="24" t="str">
        <f aca="false">IF(B268="Squat",IF(AND(E268&lt;=Summary!$B$7,OR(F268="",F268&lt;=Summary!$B$8)),"Correct","Incorrect"),IF(AND(E268&lt;=Summary!$B$9,OR(F268="",F268&gt;=Summary!$B$10)),"Correct","Incorrect"))</f>
        <v>Incorrect</v>
      </c>
      <c r="I268" s="26" t="s">
        <v>77</v>
      </c>
      <c r="J268" s="11" t="s">
        <v>78</v>
      </c>
      <c r="K268" s="24" t="str">
        <f aca="false">IF(J268="Yes",IF(I268="Correct","Incorrect","Correct"),I268)</f>
        <v>Incorrect</v>
      </c>
      <c r="L268" s="24" t="str">
        <f aca="false">IF(I268="Incorrect",IF(H268="Incorrect","TP","FN"),IF(H268="Incorrect","FP","TN"))</f>
        <v>TP</v>
      </c>
      <c r="M268" s="24" t="n">
        <f aca="false">IF(H268=I268,1,0)</f>
        <v>1</v>
      </c>
      <c r="N268" s="24" t="n">
        <f aca="false">IF(G268=I268,1,0)</f>
        <v>1</v>
      </c>
      <c r="O268" s="24" t="n">
        <f aca="false">IF(H268=K268,1,0)</f>
        <v>1</v>
      </c>
      <c r="P268" s="24"/>
      <c r="Q268" s="24" t="s">
        <v>95</v>
      </c>
    </row>
    <row r="269" customFormat="false" ht="15" hidden="false" customHeight="false" outlineLevel="0" collapsed="false">
      <c r="A269" s="11" t="s">
        <v>60</v>
      </c>
      <c r="B269" s="11" t="s">
        <v>32</v>
      </c>
      <c r="C269" s="11" t="n">
        <v>3</v>
      </c>
      <c r="D269" s="11" t="n">
        <v>8</v>
      </c>
      <c r="E269" s="25" t="n">
        <v>100.3</v>
      </c>
      <c r="F269" s="25" t="n">
        <v>12.6</v>
      </c>
      <c r="G269" s="11" t="s">
        <v>77</v>
      </c>
      <c r="H269" s="24" t="str">
        <f aca="false">IF(B269="Squat",IF(AND(E269&lt;=Summary!$B$7,OR(F269="",F269&lt;=Summary!$B$8)),"Correct","Incorrect"),IF(AND(E269&lt;=Summary!$B$9,OR(F269="",F269&gt;=Summary!$B$10)),"Correct","Incorrect"))</f>
        <v>Incorrect</v>
      </c>
      <c r="I269" s="26" t="s">
        <v>77</v>
      </c>
      <c r="J269" s="11" t="s">
        <v>78</v>
      </c>
      <c r="K269" s="24" t="str">
        <f aca="false">IF(J269="Yes",IF(I269="Correct","Incorrect","Correct"),I269)</f>
        <v>Incorrect</v>
      </c>
      <c r="L269" s="24" t="str">
        <f aca="false">IF(I269="Incorrect",IF(H269="Incorrect","TP","FN"),IF(H269="Incorrect","FP","TN"))</f>
        <v>TP</v>
      </c>
      <c r="M269" s="24" t="n">
        <f aca="false">IF(H269=I269,1,0)</f>
        <v>1</v>
      </c>
      <c r="N269" s="24" t="n">
        <f aca="false">IF(G269=I269,1,0)</f>
        <v>1</v>
      </c>
      <c r="O269" s="24" t="n">
        <f aca="false">IF(H269=K269,1,0)</f>
        <v>1</v>
      </c>
      <c r="P269" s="24"/>
      <c r="Q269" s="24" t="s">
        <v>95</v>
      </c>
    </row>
    <row r="270" customFormat="false" ht="15" hidden="false" customHeight="false" outlineLevel="0" collapsed="false">
      <c r="A270" s="11" t="s">
        <v>60</v>
      </c>
      <c r="B270" s="11" t="s">
        <v>32</v>
      </c>
      <c r="C270" s="11" t="n">
        <v>3</v>
      </c>
      <c r="D270" s="11" t="n">
        <v>9</v>
      </c>
      <c r="E270" s="25" t="n">
        <v>98</v>
      </c>
      <c r="F270" s="25" t="n">
        <v>13.3</v>
      </c>
      <c r="G270" s="11" t="s">
        <v>77</v>
      </c>
      <c r="H270" s="24" t="str">
        <f aca="false">IF(B270="Squat",IF(AND(E270&lt;=Summary!$B$7,OR(F270="",F270&lt;=Summary!$B$8)),"Correct","Incorrect"),IF(AND(E270&lt;=Summary!$B$9,OR(F270="",F270&gt;=Summary!$B$10)),"Correct","Incorrect"))</f>
        <v>Incorrect</v>
      </c>
      <c r="I270" s="26" t="s">
        <v>77</v>
      </c>
      <c r="J270" s="11" t="s">
        <v>78</v>
      </c>
      <c r="K270" s="24" t="str">
        <f aca="false">IF(J270="Yes",IF(I270="Correct","Incorrect","Correct"),I270)</f>
        <v>Incorrect</v>
      </c>
      <c r="L270" s="24" t="str">
        <f aca="false">IF(I270="Incorrect",IF(H270="Incorrect","TP","FN"),IF(H270="Incorrect","FP","TN"))</f>
        <v>TP</v>
      </c>
      <c r="M270" s="24" t="n">
        <f aca="false">IF(H270=I270,1,0)</f>
        <v>1</v>
      </c>
      <c r="N270" s="24" t="n">
        <f aca="false">IF(G270=I270,1,0)</f>
        <v>1</v>
      </c>
      <c r="O270" s="24" t="n">
        <f aca="false">IF(H270=K270,1,0)</f>
        <v>1</v>
      </c>
      <c r="P270" s="24"/>
      <c r="Q270" s="24" t="s">
        <v>95</v>
      </c>
    </row>
    <row r="271" customFormat="false" ht="15" hidden="false" customHeight="false" outlineLevel="0" collapsed="false">
      <c r="A271" s="11" t="s">
        <v>60</v>
      </c>
      <c r="B271" s="11" t="s">
        <v>32</v>
      </c>
      <c r="C271" s="11" t="n">
        <v>3</v>
      </c>
      <c r="D271" s="11" t="n">
        <v>10</v>
      </c>
      <c r="E271" s="25" t="n">
        <v>98.2</v>
      </c>
      <c r="F271" s="25" t="n">
        <v>16.6</v>
      </c>
      <c r="G271" s="11" t="s">
        <v>77</v>
      </c>
      <c r="H271" s="24" t="str">
        <f aca="false">IF(B271="Squat",IF(AND(E271&lt;=Summary!$B$7,OR(F271="",F271&lt;=Summary!$B$8)),"Correct","Incorrect"),IF(AND(E271&lt;=Summary!$B$9,OR(F271="",F271&gt;=Summary!$B$10)),"Correct","Incorrect"))</f>
        <v>Incorrect</v>
      </c>
      <c r="I271" s="26" t="s">
        <v>77</v>
      </c>
      <c r="J271" s="11" t="s">
        <v>78</v>
      </c>
      <c r="K271" s="24" t="str">
        <f aca="false">IF(J271="Yes",IF(I271="Correct","Incorrect","Correct"),I271)</f>
        <v>Incorrect</v>
      </c>
      <c r="L271" s="24" t="str">
        <f aca="false">IF(I271="Incorrect",IF(H271="Incorrect","TP","FN"),IF(H271="Incorrect","FP","TN"))</f>
        <v>TP</v>
      </c>
      <c r="M271" s="24" t="n">
        <f aca="false">IF(H271=I271,1,0)</f>
        <v>1</v>
      </c>
      <c r="N271" s="24" t="n">
        <f aca="false">IF(G271=I271,1,0)</f>
        <v>1</v>
      </c>
      <c r="O271" s="24" t="n">
        <f aca="false">IF(H271=K271,1,0)</f>
        <v>1</v>
      </c>
      <c r="P271" s="24"/>
      <c r="Q271" s="24" t="s">
        <v>95</v>
      </c>
    </row>
    <row r="272" customFormat="false" ht="15" hidden="false" customHeight="false" outlineLevel="0" collapsed="false">
      <c r="A272" s="11" t="s">
        <v>61</v>
      </c>
      <c r="B272" s="11" t="s">
        <v>32</v>
      </c>
      <c r="C272" s="11" t="n">
        <v>1</v>
      </c>
      <c r="D272" s="11" t="n">
        <v>1</v>
      </c>
      <c r="E272" s="25" t="n">
        <v>88.6</v>
      </c>
      <c r="F272" s="25" t="n">
        <v>26.4</v>
      </c>
      <c r="G272" s="11" t="s">
        <v>77</v>
      </c>
      <c r="H272" s="24" t="str">
        <f aca="false">IF(B272="Squat",IF(AND(E272&lt;=Summary!$B$7,OR(F272="",F272&lt;=Summary!$B$8)),"Correct","Incorrect"),IF(AND(E272&lt;=Summary!$B$9,OR(F272="",F272&gt;=Summary!$B$10)),"Correct","Incorrect"))</f>
        <v>Incorrect</v>
      </c>
      <c r="I272" s="26" t="s">
        <v>80</v>
      </c>
      <c r="J272" s="11" t="s">
        <v>78</v>
      </c>
      <c r="K272" s="24" t="str">
        <f aca="false">IF(J272="Yes",IF(I272="Correct","Incorrect","Correct"),I272)</f>
        <v>Correct</v>
      </c>
      <c r="L272" s="24" t="str">
        <f aca="false">IF(I272="Incorrect",IF(H272="Incorrect","TP","FN"),IF(H272="Incorrect","FP","TN"))</f>
        <v>FP</v>
      </c>
      <c r="M272" s="24" t="n">
        <f aca="false">IF(H272=I272,1,0)</f>
        <v>0</v>
      </c>
      <c r="N272" s="24" t="n">
        <f aca="false">IF(G272=I272,1,0)</f>
        <v>0</v>
      </c>
      <c r="O272" s="24" t="n">
        <f aca="false">IF(H272=K272,1,0)</f>
        <v>0</v>
      </c>
      <c r="P272" s="24"/>
      <c r="Q272" s="24" t="s">
        <v>96</v>
      </c>
    </row>
    <row r="273" customFormat="false" ht="15" hidden="false" customHeight="false" outlineLevel="0" collapsed="false">
      <c r="A273" s="11" t="s">
        <v>61</v>
      </c>
      <c r="B273" s="11" t="s">
        <v>32</v>
      </c>
      <c r="C273" s="11" t="n">
        <v>1</v>
      </c>
      <c r="D273" s="11" t="n">
        <v>2</v>
      </c>
      <c r="E273" s="25" t="n">
        <v>82.7</v>
      </c>
      <c r="F273" s="25" t="n">
        <v>26.7</v>
      </c>
      <c r="G273" s="11" t="s">
        <v>77</v>
      </c>
      <c r="H273" s="24" t="str">
        <f aca="false">IF(B273="Squat",IF(AND(E273&lt;=Summary!$B$7,OR(F273="",F273&lt;=Summary!$B$8)),"Correct","Incorrect"),IF(AND(E273&lt;=Summary!$B$9,OR(F273="",F273&gt;=Summary!$B$10)),"Correct","Incorrect"))</f>
        <v>Incorrect</v>
      </c>
      <c r="I273" s="26" t="s">
        <v>80</v>
      </c>
      <c r="J273" s="11" t="s">
        <v>78</v>
      </c>
      <c r="K273" s="24" t="str">
        <f aca="false">IF(J273="Yes",IF(I273="Correct","Incorrect","Correct"),I273)</f>
        <v>Correct</v>
      </c>
      <c r="L273" s="24" t="str">
        <f aca="false">IF(I273="Incorrect",IF(H273="Incorrect","TP","FN"),IF(H273="Incorrect","FP","TN"))</f>
        <v>FP</v>
      </c>
      <c r="M273" s="24" t="n">
        <f aca="false">IF(H273=I273,1,0)</f>
        <v>0</v>
      </c>
      <c r="N273" s="24" t="n">
        <f aca="false">IF(G273=I273,1,0)</f>
        <v>0</v>
      </c>
      <c r="O273" s="24" t="n">
        <f aca="false">IF(H273=K273,1,0)</f>
        <v>0</v>
      </c>
      <c r="P273" s="24"/>
      <c r="Q273" s="24" t="s">
        <v>96</v>
      </c>
    </row>
    <row r="274" customFormat="false" ht="15" hidden="false" customHeight="false" outlineLevel="0" collapsed="false">
      <c r="A274" s="11" t="s">
        <v>61</v>
      </c>
      <c r="B274" s="11" t="s">
        <v>32</v>
      </c>
      <c r="C274" s="11" t="n">
        <v>1</v>
      </c>
      <c r="D274" s="11" t="n">
        <v>3</v>
      </c>
      <c r="E274" s="25" t="n">
        <v>72.1</v>
      </c>
      <c r="F274" s="25" t="n">
        <v>30.9</v>
      </c>
      <c r="G274" s="11" t="s">
        <v>80</v>
      </c>
      <c r="H274" s="24" t="str">
        <f aca="false">IF(B274="Squat",IF(AND(E274&lt;=Summary!$B$7,OR(F274="",F274&lt;=Summary!$B$8)),"Correct","Incorrect"),IF(AND(E274&lt;=Summary!$B$9,OR(F274="",F274&gt;=Summary!$B$10)),"Correct","Incorrect"))</f>
        <v>Correct</v>
      </c>
      <c r="I274" s="26" t="s">
        <v>80</v>
      </c>
      <c r="J274" s="11" t="s">
        <v>78</v>
      </c>
      <c r="K274" s="24" t="str">
        <f aca="false">IF(J274="Yes",IF(I274="Correct","Incorrect","Correct"),I274)</f>
        <v>Correct</v>
      </c>
      <c r="L274" s="24" t="str">
        <f aca="false">IF(I274="Incorrect",IF(H274="Incorrect","TP","FN"),IF(H274="Incorrect","FP","TN"))</f>
        <v>TN</v>
      </c>
      <c r="M274" s="24" t="n">
        <f aca="false">IF(H274=I274,1,0)</f>
        <v>1</v>
      </c>
      <c r="N274" s="24" t="n">
        <f aca="false">IF(G274=I274,1,0)</f>
        <v>1</v>
      </c>
      <c r="O274" s="24" t="n">
        <f aca="false">IF(H274=K274,1,0)</f>
        <v>1</v>
      </c>
      <c r="P274" s="24"/>
      <c r="Q274" s="24" t="s">
        <v>96</v>
      </c>
    </row>
    <row r="275" customFormat="false" ht="15" hidden="false" customHeight="false" outlineLevel="0" collapsed="false">
      <c r="A275" s="11" t="s">
        <v>61</v>
      </c>
      <c r="B275" s="11" t="s">
        <v>32</v>
      </c>
      <c r="C275" s="11" t="n">
        <v>1</v>
      </c>
      <c r="D275" s="11" t="n">
        <v>4</v>
      </c>
      <c r="E275" s="25" t="n">
        <v>77.9</v>
      </c>
      <c r="F275" s="25" t="n">
        <v>31</v>
      </c>
      <c r="G275" s="11" t="s">
        <v>80</v>
      </c>
      <c r="H275" s="24" t="str">
        <f aca="false">IF(B275="Squat",IF(AND(E275&lt;=Summary!$B$7,OR(F275="",F275&lt;=Summary!$B$8)),"Correct","Incorrect"),IF(AND(E275&lt;=Summary!$B$9,OR(F275="",F275&gt;=Summary!$B$10)),"Correct","Incorrect"))</f>
        <v>Correct</v>
      </c>
      <c r="I275" s="26" t="s">
        <v>80</v>
      </c>
      <c r="J275" s="11" t="s">
        <v>78</v>
      </c>
      <c r="K275" s="24" t="str">
        <f aca="false">IF(J275="Yes",IF(I275="Correct","Incorrect","Correct"),I275)</f>
        <v>Correct</v>
      </c>
      <c r="L275" s="24" t="str">
        <f aca="false">IF(I275="Incorrect",IF(H275="Incorrect","TP","FN"),IF(H275="Incorrect","FP","TN"))</f>
        <v>TN</v>
      </c>
      <c r="M275" s="24" t="n">
        <f aca="false">IF(H275=I275,1,0)</f>
        <v>1</v>
      </c>
      <c r="N275" s="24" t="n">
        <f aca="false">IF(G275=I275,1,0)</f>
        <v>1</v>
      </c>
      <c r="O275" s="24" t="n">
        <f aca="false">IF(H275=K275,1,0)</f>
        <v>1</v>
      </c>
      <c r="P275" s="24"/>
      <c r="Q275" s="24" t="s">
        <v>96</v>
      </c>
    </row>
    <row r="276" customFormat="false" ht="15" hidden="false" customHeight="false" outlineLevel="0" collapsed="false">
      <c r="A276" s="11" t="s">
        <v>61</v>
      </c>
      <c r="B276" s="11" t="s">
        <v>32</v>
      </c>
      <c r="C276" s="11" t="n">
        <v>1</v>
      </c>
      <c r="D276" s="11" t="n">
        <v>5</v>
      </c>
      <c r="E276" s="25" t="n">
        <v>76.3</v>
      </c>
      <c r="F276" s="25" t="n">
        <v>36.1</v>
      </c>
      <c r="G276" s="11" t="s">
        <v>80</v>
      </c>
      <c r="H276" s="24" t="str">
        <f aca="false">IF(B276="Squat",IF(AND(E276&lt;=Summary!$B$7,OR(F276="",F276&lt;=Summary!$B$8)),"Correct","Incorrect"),IF(AND(E276&lt;=Summary!$B$9,OR(F276="",F276&gt;=Summary!$B$10)),"Correct","Incorrect"))</f>
        <v>Correct</v>
      </c>
      <c r="I276" s="26" t="s">
        <v>80</v>
      </c>
      <c r="J276" s="11" t="s">
        <v>78</v>
      </c>
      <c r="K276" s="24" t="str">
        <f aca="false">IF(J276="Yes",IF(I276="Correct","Incorrect","Correct"),I276)</f>
        <v>Correct</v>
      </c>
      <c r="L276" s="24" t="str">
        <f aca="false">IF(I276="Incorrect",IF(H276="Incorrect","TP","FN"),IF(H276="Incorrect","FP","TN"))</f>
        <v>TN</v>
      </c>
      <c r="M276" s="24" t="n">
        <f aca="false">IF(H276=I276,1,0)</f>
        <v>1</v>
      </c>
      <c r="N276" s="24" t="n">
        <f aca="false">IF(G276=I276,1,0)</f>
        <v>1</v>
      </c>
      <c r="O276" s="24" t="n">
        <f aca="false">IF(H276=K276,1,0)</f>
        <v>1</v>
      </c>
      <c r="P276" s="24"/>
      <c r="Q276" s="24" t="s">
        <v>96</v>
      </c>
    </row>
    <row r="277" customFormat="false" ht="15" hidden="false" customHeight="false" outlineLevel="0" collapsed="false">
      <c r="A277" s="11" t="s">
        <v>61</v>
      </c>
      <c r="B277" s="11" t="s">
        <v>32</v>
      </c>
      <c r="C277" s="11" t="n">
        <v>1</v>
      </c>
      <c r="D277" s="11" t="n">
        <v>6</v>
      </c>
      <c r="E277" s="25" t="n">
        <v>75.3</v>
      </c>
      <c r="F277" s="25" t="n">
        <v>35.8</v>
      </c>
      <c r="G277" s="11" t="s">
        <v>80</v>
      </c>
      <c r="H277" s="24" t="str">
        <f aca="false">IF(B277="Squat",IF(AND(E277&lt;=Summary!$B$7,OR(F277="",F277&lt;=Summary!$B$8)),"Correct","Incorrect"),IF(AND(E277&lt;=Summary!$B$9,OR(F277="",F277&gt;=Summary!$B$10)),"Correct","Incorrect"))</f>
        <v>Correct</v>
      </c>
      <c r="I277" s="26" t="s">
        <v>80</v>
      </c>
      <c r="J277" s="11" t="s">
        <v>78</v>
      </c>
      <c r="K277" s="24" t="str">
        <f aca="false">IF(J277="Yes",IF(I277="Correct","Incorrect","Correct"),I277)</f>
        <v>Correct</v>
      </c>
      <c r="L277" s="24" t="str">
        <f aca="false">IF(I277="Incorrect",IF(H277="Incorrect","TP","FN"),IF(H277="Incorrect","FP","TN"))</f>
        <v>TN</v>
      </c>
      <c r="M277" s="24" t="n">
        <f aca="false">IF(H277=I277,1,0)</f>
        <v>1</v>
      </c>
      <c r="N277" s="24" t="n">
        <f aca="false">IF(G277=I277,1,0)</f>
        <v>1</v>
      </c>
      <c r="O277" s="24" t="n">
        <f aca="false">IF(H277=K277,1,0)</f>
        <v>1</v>
      </c>
      <c r="P277" s="24"/>
      <c r="Q277" s="24" t="s">
        <v>96</v>
      </c>
    </row>
    <row r="278" customFormat="false" ht="15" hidden="false" customHeight="false" outlineLevel="0" collapsed="false">
      <c r="A278" s="11" t="s">
        <v>61</v>
      </c>
      <c r="B278" s="11" t="s">
        <v>32</v>
      </c>
      <c r="C278" s="11" t="n">
        <v>1</v>
      </c>
      <c r="D278" s="11" t="n">
        <v>7</v>
      </c>
      <c r="E278" s="25" t="n">
        <v>79.5</v>
      </c>
      <c r="F278" s="25" t="n">
        <v>35.8</v>
      </c>
      <c r="G278" s="11" t="s">
        <v>80</v>
      </c>
      <c r="H278" s="24" t="str">
        <f aca="false">IF(B278="Squat",IF(AND(E278&lt;=Summary!$B$7,OR(F278="",F278&lt;=Summary!$B$8)),"Correct","Incorrect"),IF(AND(E278&lt;=Summary!$B$9,OR(F278="",F278&gt;=Summary!$B$10)),"Correct","Incorrect"))</f>
        <v>Correct</v>
      </c>
      <c r="I278" s="26" t="s">
        <v>80</v>
      </c>
      <c r="J278" s="11" t="s">
        <v>78</v>
      </c>
      <c r="K278" s="24" t="str">
        <f aca="false">IF(J278="Yes",IF(I278="Correct","Incorrect","Correct"),I278)</f>
        <v>Correct</v>
      </c>
      <c r="L278" s="24" t="str">
        <f aca="false">IF(I278="Incorrect",IF(H278="Incorrect","TP","FN"),IF(H278="Incorrect","FP","TN"))</f>
        <v>TN</v>
      </c>
      <c r="M278" s="24" t="n">
        <f aca="false">IF(H278=I278,1,0)</f>
        <v>1</v>
      </c>
      <c r="N278" s="24" t="n">
        <f aca="false">IF(G278=I278,1,0)</f>
        <v>1</v>
      </c>
      <c r="O278" s="24" t="n">
        <f aca="false">IF(H278=K278,1,0)</f>
        <v>1</v>
      </c>
      <c r="P278" s="24"/>
      <c r="Q278" s="24" t="s">
        <v>96</v>
      </c>
    </row>
    <row r="279" customFormat="false" ht="15" hidden="false" customHeight="false" outlineLevel="0" collapsed="false">
      <c r="A279" s="11" t="s">
        <v>61</v>
      </c>
      <c r="B279" s="11" t="s">
        <v>32</v>
      </c>
      <c r="C279" s="11" t="n">
        <v>1</v>
      </c>
      <c r="D279" s="11" t="n">
        <v>8</v>
      </c>
      <c r="E279" s="25" t="n">
        <v>73.1</v>
      </c>
      <c r="F279" s="25" t="n">
        <v>34.6</v>
      </c>
      <c r="G279" s="11" t="s">
        <v>80</v>
      </c>
      <c r="H279" s="24" t="str">
        <f aca="false">IF(B279="Squat",IF(AND(E279&lt;=Summary!$B$7,OR(F279="",F279&lt;=Summary!$B$8)),"Correct","Incorrect"),IF(AND(E279&lt;=Summary!$B$9,OR(F279="",F279&gt;=Summary!$B$10)),"Correct","Incorrect"))</f>
        <v>Correct</v>
      </c>
      <c r="I279" s="26" t="s">
        <v>80</v>
      </c>
      <c r="J279" s="11" t="s">
        <v>78</v>
      </c>
      <c r="K279" s="24" t="str">
        <f aca="false">IF(J279="Yes",IF(I279="Correct","Incorrect","Correct"),I279)</f>
        <v>Correct</v>
      </c>
      <c r="L279" s="24" t="str">
        <f aca="false">IF(I279="Incorrect",IF(H279="Incorrect","TP","FN"),IF(H279="Incorrect","FP","TN"))</f>
        <v>TN</v>
      </c>
      <c r="M279" s="24" t="n">
        <f aca="false">IF(H279=I279,1,0)</f>
        <v>1</v>
      </c>
      <c r="N279" s="24" t="n">
        <f aca="false">IF(G279=I279,1,0)</f>
        <v>1</v>
      </c>
      <c r="O279" s="24" t="n">
        <f aca="false">IF(H279=K279,1,0)</f>
        <v>1</v>
      </c>
      <c r="P279" s="24"/>
      <c r="Q279" s="24" t="s">
        <v>96</v>
      </c>
    </row>
    <row r="280" customFormat="false" ht="15" hidden="false" customHeight="false" outlineLevel="0" collapsed="false">
      <c r="A280" s="11" t="s">
        <v>61</v>
      </c>
      <c r="B280" s="11" t="s">
        <v>32</v>
      </c>
      <c r="C280" s="11" t="n">
        <v>1</v>
      </c>
      <c r="D280" s="11" t="n">
        <v>9</v>
      </c>
      <c r="E280" s="25" t="n">
        <v>73.5</v>
      </c>
      <c r="F280" s="25" t="n">
        <v>34</v>
      </c>
      <c r="G280" s="11" t="s">
        <v>80</v>
      </c>
      <c r="H280" s="24" t="str">
        <f aca="false">IF(B280="Squat",IF(AND(E280&lt;=Summary!$B$7,OR(F280="",F280&lt;=Summary!$B$8)),"Correct","Incorrect"),IF(AND(E280&lt;=Summary!$B$9,OR(F280="",F280&gt;=Summary!$B$10)),"Correct","Incorrect"))</f>
        <v>Correct</v>
      </c>
      <c r="I280" s="26" t="s">
        <v>80</v>
      </c>
      <c r="J280" s="11" t="s">
        <v>78</v>
      </c>
      <c r="K280" s="24" t="str">
        <f aca="false">IF(J280="Yes",IF(I280="Correct","Incorrect","Correct"),I280)</f>
        <v>Correct</v>
      </c>
      <c r="L280" s="24" t="str">
        <f aca="false">IF(I280="Incorrect",IF(H280="Incorrect","TP","FN"),IF(H280="Incorrect","FP","TN"))</f>
        <v>TN</v>
      </c>
      <c r="M280" s="24" t="n">
        <f aca="false">IF(H280=I280,1,0)</f>
        <v>1</v>
      </c>
      <c r="N280" s="24" t="n">
        <f aca="false">IF(G280=I280,1,0)</f>
        <v>1</v>
      </c>
      <c r="O280" s="24" t="n">
        <f aca="false">IF(H280=K280,1,0)</f>
        <v>1</v>
      </c>
      <c r="P280" s="24"/>
      <c r="Q280" s="24" t="s">
        <v>96</v>
      </c>
    </row>
    <row r="281" customFormat="false" ht="15" hidden="false" customHeight="false" outlineLevel="0" collapsed="false">
      <c r="A281" s="11" t="s">
        <v>61</v>
      </c>
      <c r="B281" s="11" t="s">
        <v>32</v>
      </c>
      <c r="C281" s="11" t="n">
        <v>1</v>
      </c>
      <c r="D281" s="11" t="n">
        <v>10</v>
      </c>
      <c r="E281" s="25" t="n">
        <v>69.2</v>
      </c>
      <c r="F281" s="25" t="n">
        <v>34.7</v>
      </c>
      <c r="G281" s="11" t="s">
        <v>80</v>
      </c>
      <c r="H281" s="24" t="str">
        <f aca="false">IF(B281="Squat",IF(AND(E281&lt;=Summary!$B$7,OR(F281="",F281&lt;=Summary!$B$8)),"Correct","Incorrect"),IF(AND(E281&lt;=Summary!$B$9,OR(F281="",F281&gt;=Summary!$B$10)),"Correct","Incorrect"))</f>
        <v>Correct</v>
      </c>
      <c r="I281" s="26" t="s">
        <v>80</v>
      </c>
      <c r="J281" s="11" t="s">
        <v>78</v>
      </c>
      <c r="K281" s="24" t="str">
        <f aca="false">IF(J281="Yes",IF(I281="Correct","Incorrect","Correct"),I281)</f>
        <v>Correct</v>
      </c>
      <c r="L281" s="24" t="str">
        <f aca="false">IF(I281="Incorrect",IF(H281="Incorrect","TP","FN"),IF(H281="Incorrect","FP","TN"))</f>
        <v>TN</v>
      </c>
      <c r="M281" s="24" t="n">
        <f aca="false">IF(H281=I281,1,0)</f>
        <v>1</v>
      </c>
      <c r="N281" s="24" t="n">
        <f aca="false">IF(G281=I281,1,0)</f>
        <v>1</v>
      </c>
      <c r="O281" s="24" t="n">
        <f aca="false">IF(H281=K281,1,0)</f>
        <v>1</v>
      </c>
      <c r="P281" s="24"/>
      <c r="Q281" s="24" t="s">
        <v>96</v>
      </c>
    </row>
    <row r="282" customFormat="false" ht="15" hidden="false" customHeight="false" outlineLevel="0" collapsed="false">
      <c r="A282" s="11" t="s">
        <v>61</v>
      </c>
      <c r="B282" s="11" t="s">
        <v>32</v>
      </c>
      <c r="C282" s="11" t="n">
        <v>2</v>
      </c>
      <c r="D282" s="11" t="n">
        <v>1</v>
      </c>
      <c r="E282" s="25" t="n">
        <v>108.6</v>
      </c>
      <c r="F282" s="25" t="n">
        <v>21.5</v>
      </c>
      <c r="G282" s="11" t="s">
        <v>77</v>
      </c>
      <c r="H282" s="24" t="str">
        <f aca="false">IF(B282="Squat",IF(AND(E282&lt;=Summary!$B$7,OR(F282="",F282&lt;=Summary!$B$8)),"Correct","Incorrect"),IF(AND(E282&lt;=Summary!$B$9,OR(F282="",F282&gt;=Summary!$B$10)),"Correct","Incorrect"))</f>
        <v>Incorrect</v>
      </c>
      <c r="I282" s="26" t="s">
        <v>77</v>
      </c>
      <c r="J282" s="11" t="s">
        <v>78</v>
      </c>
      <c r="K282" s="24" t="str">
        <f aca="false">IF(J282="Yes",IF(I282="Correct","Incorrect","Correct"),I282)</f>
        <v>Incorrect</v>
      </c>
      <c r="L282" s="24" t="str">
        <f aca="false">IF(I282="Incorrect",IF(H282="Incorrect","TP","FN"),IF(H282="Incorrect","FP","TN"))</f>
        <v>TP</v>
      </c>
      <c r="M282" s="24" t="n">
        <f aca="false">IF(H282=I282,1,0)</f>
        <v>1</v>
      </c>
      <c r="N282" s="24" t="n">
        <f aca="false">IF(G282=I282,1,0)</f>
        <v>1</v>
      </c>
      <c r="O282" s="24" t="n">
        <f aca="false">IF(H282=K282,1,0)</f>
        <v>1</v>
      </c>
      <c r="P282" s="24"/>
      <c r="Q282" s="24" t="s">
        <v>96</v>
      </c>
    </row>
    <row r="283" customFormat="false" ht="15" hidden="false" customHeight="false" outlineLevel="0" collapsed="false">
      <c r="A283" s="11" t="s">
        <v>61</v>
      </c>
      <c r="B283" s="11" t="s">
        <v>32</v>
      </c>
      <c r="C283" s="11" t="n">
        <v>2</v>
      </c>
      <c r="D283" s="11" t="n">
        <v>2</v>
      </c>
      <c r="E283" s="25" t="n">
        <v>108.4</v>
      </c>
      <c r="F283" s="25" t="n">
        <v>20.6</v>
      </c>
      <c r="G283" s="11" t="s">
        <v>77</v>
      </c>
      <c r="H283" s="24" t="str">
        <f aca="false">IF(B283="Squat",IF(AND(E283&lt;=Summary!$B$7,OR(F283="",F283&lt;=Summary!$B$8)),"Correct","Incorrect"),IF(AND(E283&lt;=Summary!$B$9,OR(F283="",F283&gt;=Summary!$B$10)),"Correct","Incorrect"))</f>
        <v>Incorrect</v>
      </c>
      <c r="I283" s="26" t="s">
        <v>77</v>
      </c>
      <c r="J283" s="11" t="s">
        <v>78</v>
      </c>
      <c r="K283" s="24" t="str">
        <f aca="false">IF(J283="Yes",IF(I283="Correct","Incorrect","Correct"),I283)</f>
        <v>Incorrect</v>
      </c>
      <c r="L283" s="24" t="str">
        <f aca="false">IF(I283="Incorrect",IF(H283="Incorrect","TP","FN"),IF(H283="Incorrect","FP","TN"))</f>
        <v>TP</v>
      </c>
      <c r="M283" s="24" t="n">
        <f aca="false">IF(H283=I283,1,0)</f>
        <v>1</v>
      </c>
      <c r="N283" s="24" t="n">
        <f aca="false">IF(G283=I283,1,0)</f>
        <v>1</v>
      </c>
      <c r="O283" s="24" t="n">
        <f aca="false">IF(H283=K283,1,0)</f>
        <v>1</v>
      </c>
      <c r="P283" s="24"/>
      <c r="Q283" s="24" t="s">
        <v>96</v>
      </c>
    </row>
    <row r="284" customFormat="false" ht="15" hidden="false" customHeight="false" outlineLevel="0" collapsed="false">
      <c r="A284" s="11" t="s">
        <v>61</v>
      </c>
      <c r="B284" s="11" t="s">
        <v>32</v>
      </c>
      <c r="C284" s="11" t="n">
        <v>2</v>
      </c>
      <c r="D284" s="11" t="n">
        <v>3</v>
      </c>
      <c r="E284" s="25" t="n">
        <v>107.2</v>
      </c>
      <c r="F284" s="25" t="n">
        <v>14.8</v>
      </c>
      <c r="G284" s="11" t="s">
        <v>77</v>
      </c>
      <c r="H284" s="24" t="str">
        <f aca="false">IF(B284="Squat",IF(AND(E284&lt;=Summary!$B$7,OR(F284="",F284&lt;=Summary!$B$8)),"Correct","Incorrect"),IF(AND(E284&lt;=Summary!$B$9,OR(F284="",F284&gt;=Summary!$B$10)),"Correct","Incorrect"))</f>
        <v>Incorrect</v>
      </c>
      <c r="I284" s="26" t="s">
        <v>77</v>
      </c>
      <c r="J284" s="11" t="s">
        <v>78</v>
      </c>
      <c r="K284" s="24" t="str">
        <f aca="false">IF(J284="Yes",IF(I284="Correct","Incorrect","Correct"),I284)</f>
        <v>Incorrect</v>
      </c>
      <c r="L284" s="24" t="str">
        <f aca="false">IF(I284="Incorrect",IF(H284="Incorrect","TP","FN"),IF(H284="Incorrect","FP","TN"))</f>
        <v>TP</v>
      </c>
      <c r="M284" s="24" t="n">
        <f aca="false">IF(H284=I284,1,0)</f>
        <v>1</v>
      </c>
      <c r="N284" s="24" t="n">
        <f aca="false">IF(G284=I284,1,0)</f>
        <v>1</v>
      </c>
      <c r="O284" s="24" t="n">
        <f aca="false">IF(H284=K284,1,0)</f>
        <v>1</v>
      </c>
      <c r="P284" s="24"/>
      <c r="Q284" s="24" t="s">
        <v>96</v>
      </c>
    </row>
    <row r="285" customFormat="false" ht="15" hidden="false" customHeight="false" outlineLevel="0" collapsed="false">
      <c r="A285" s="11" t="s">
        <v>61</v>
      </c>
      <c r="B285" s="11" t="s">
        <v>32</v>
      </c>
      <c r="C285" s="11" t="n">
        <v>2</v>
      </c>
      <c r="D285" s="11" t="n">
        <v>4</v>
      </c>
      <c r="E285" s="25" t="n">
        <v>106.8</v>
      </c>
      <c r="F285" s="25" t="n">
        <v>18.2</v>
      </c>
      <c r="G285" s="11" t="s">
        <v>77</v>
      </c>
      <c r="H285" s="24" t="str">
        <f aca="false">IF(B285="Squat",IF(AND(E285&lt;=Summary!$B$7,OR(F285="",F285&lt;=Summary!$B$8)),"Correct","Incorrect"),IF(AND(E285&lt;=Summary!$B$9,OR(F285="",F285&gt;=Summary!$B$10)),"Correct","Incorrect"))</f>
        <v>Incorrect</v>
      </c>
      <c r="I285" s="26" t="s">
        <v>77</v>
      </c>
      <c r="J285" s="11" t="s">
        <v>78</v>
      </c>
      <c r="K285" s="24" t="str">
        <f aca="false">IF(J285="Yes",IF(I285="Correct","Incorrect","Correct"),I285)</f>
        <v>Incorrect</v>
      </c>
      <c r="L285" s="24" t="str">
        <f aca="false">IF(I285="Incorrect",IF(H285="Incorrect","TP","FN"),IF(H285="Incorrect","FP","TN"))</f>
        <v>TP</v>
      </c>
      <c r="M285" s="24" t="n">
        <f aca="false">IF(H285=I285,1,0)</f>
        <v>1</v>
      </c>
      <c r="N285" s="24" t="n">
        <f aca="false">IF(G285=I285,1,0)</f>
        <v>1</v>
      </c>
      <c r="O285" s="24" t="n">
        <f aca="false">IF(H285=K285,1,0)</f>
        <v>1</v>
      </c>
      <c r="P285" s="24"/>
      <c r="Q285" s="24" t="s">
        <v>96</v>
      </c>
    </row>
    <row r="286" customFormat="false" ht="15" hidden="false" customHeight="false" outlineLevel="0" collapsed="false">
      <c r="A286" s="11" t="s">
        <v>61</v>
      </c>
      <c r="B286" s="11" t="s">
        <v>32</v>
      </c>
      <c r="C286" s="11" t="n">
        <v>2</v>
      </c>
      <c r="D286" s="11" t="n">
        <v>5</v>
      </c>
      <c r="E286" s="25" t="n">
        <v>105.4</v>
      </c>
      <c r="F286" s="25" t="n">
        <v>13.8</v>
      </c>
      <c r="G286" s="11" t="s">
        <v>77</v>
      </c>
      <c r="H286" s="24" t="str">
        <f aca="false">IF(B286="Squat",IF(AND(E286&lt;=Summary!$B$7,OR(F286="",F286&lt;=Summary!$B$8)),"Correct","Incorrect"),IF(AND(E286&lt;=Summary!$B$9,OR(F286="",F286&gt;=Summary!$B$10)),"Correct","Incorrect"))</f>
        <v>Incorrect</v>
      </c>
      <c r="I286" s="26" t="s">
        <v>77</v>
      </c>
      <c r="J286" s="11" t="s">
        <v>78</v>
      </c>
      <c r="K286" s="24" t="str">
        <f aca="false">IF(J286="Yes",IF(I286="Correct","Incorrect","Correct"),I286)</f>
        <v>Incorrect</v>
      </c>
      <c r="L286" s="24" t="str">
        <f aca="false">IF(I286="Incorrect",IF(H286="Incorrect","TP","FN"),IF(H286="Incorrect","FP","TN"))</f>
        <v>TP</v>
      </c>
      <c r="M286" s="24" t="n">
        <f aca="false">IF(H286=I286,1,0)</f>
        <v>1</v>
      </c>
      <c r="N286" s="24" t="n">
        <f aca="false">IF(G286=I286,1,0)</f>
        <v>1</v>
      </c>
      <c r="O286" s="24" t="n">
        <f aca="false">IF(H286=K286,1,0)</f>
        <v>1</v>
      </c>
      <c r="P286" s="24"/>
      <c r="Q286" s="24" t="s">
        <v>96</v>
      </c>
    </row>
    <row r="287" customFormat="false" ht="15" hidden="false" customHeight="false" outlineLevel="0" collapsed="false">
      <c r="A287" s="11" t="s">
        <v>61</v>
      </c>
      <c r="B287" s="11" t="s">
        <v>32</v>
      </c>
      <c r="C287" s="11" t="n">
        <v>2</v>
      </c>
      <c r="D287" s="11" t="n">
        <v>6</v>
      </c>
      <c r="E287" s="25" t="n">
        <v>99.5</v>
      </c>
      <c r="F287" s="25" t="n">
        <v>12.5</v>
      </c>
      <c r="G287" s="11" t="s">
        <v>77</v>
      </c>
      <c r="H287" s="24" t="str">
        <f aca="false">IF(B287="Squat",IF(AND(E287&lt;=Summary!$B$7,OR(F287="",F287&lt;=Summary!$B$8)),"Correct","Incorrect"),IF(AND(E287&lt;=Summary!$B$9,OR(F287="",F287&gt;=Summary!$B$10)),"Correct","Incorrect"))</f>
        <v>Incorrect</v>
      </c>
      <c r="I287" s="26" t="s">
        <v>77</v>
      </c>
      <c r="J287" s="11" t="s">
        <v>78</v>
      </c>
      <c r="K287" s="24" t="str">
        <f aca="false">IF(J287="Yes",IF(I287="Correct","Incorrect","Correct"),I287)</f>
        <v>Incorrect</v>
      </c>
      <c r="L287" s="24" t="str">
        <f aca="false">IF(I287="Incorrect",IF(H287="Incorrect","TP","FN"),IF(H287="Incorrect","FP","TN"))</f>
        <v>TP</v>
      </c>
      <c r="M287" s="24" t="n">
        <f aca="false">IF(H287=I287,1,0)</f>
        <v>1</v>
      </c>
      <c r="N287" s="24" t="n">
        <f aca="false">IF(G287=I287,1,0)</f>
        <v>1</v>
      </c>
      <c r="O287" s="24" t="n">
        <f aca="false">IF(H287=K287,1,0)</f>
        <v>1</v>
      </c>
      <c r="P287" s="24"/>
      <c r="Q287" s="24" t="s">
        <v>96</v>
      </c>
    </row>
    <row r="288" customFormat="false" ht="15" hidden="false" customHeight="false" outlineLevel="0" collapsed="false">
      <c r="A288" s="11" t="s">
        <v>61</v>
      </c>
      <c r="B288" s="11" t="s">
        <v>32</v>
      </c>
      <c r="C288" s="11" t="n">
        <v>2</v>
      </c>
      <c r="D288" s="11" t="n">
        <v>7</v>
      </c>
      <c r="E288" s="25" t="n">
        <v>103.6</v>
      </c>
      <c r="F288" s="25" t="n">
        <v>11.3</v>
      </c>
      <c r="G288" s="11" t="s">
        <v>77</v>
      </c>
      <c r="H288" s="24" t="str">
        <f aca="false">IF(B288="Squat",IF(AND(E288&lt;=Summary!$B$7,OR(F288="",F288&lt;=Summary!$B$8)),"Correct","Incorrect"),IF(AND(E288&lt;=Summary!$B$9,OR(F288="",F288&gt;=Summary!$B$10)),"Correct","Incorrect"))</f>
        <v>Incorrect</v>
      </c>
      <c r="I288" s="26" t="s">
        <v>77</v>
      </c>
      <c r="J288" s="11" t="s">
        <v>78</v>
      </c>
      <c r="K288" s="24" t="str">
        <f aca="false">IF(J288="Yes",IF(I288="Correct","Incorrect","Correct"),I288)</f>
        <v>Incorrect</v>
      </c>
      <c r="L288" s="24" t="str">
        <f aca="false">IF(I288="Incorrect",IF(H288="Incorrect","TP","FN"),IF(H288="Incorrect","FP","TN"))</f>
        <v>TP</v>
      </c>
      <c r="M288" s="24" t="n">
        <f aca="false">IF(H288=I288,1,0)</f>
        <v>1</v>
      </c>
      <c r="N288" s="24" t="n">
        <f aca="false">IF(G288=I288,1,0)</f>
        <v>1</v>
      </c>
      <c r="O288" s="24" t="n">
        <f aca="false">IF(H288=K288,1,0)</f>
        <v>1</v>
      </c>
      <c r="P288" s="24"/>
      <c r="Q288" s="24" t="s">
        <v>96</v>
      </c>
    </row>
    <row r="289" customFormat="false" ht="15" hidden="false" customHeight="false" outlineLevel="0" collapsed="false">
      <c r="A289" s="11" t="s">
        <v>61</v>
      </c>
      <c r="B289" s="11" t="s">
        <v>32</v>
      </c>
      <c r="C289" s="11" t="n">
        <v>2</v>
      </c>
      <c r="D289" s="11" t="n">
        <v>8</v>
      </c>
      <c r="E289" s="25" t="n">
        <v>101</v>
      </c>
      <c r="F289" s="25" t="n">
        <v>13.7</v>
      </c>
      <c r="G289" s="11" t="s">
        <v>77</v>
      </c>
      <c r="H289" s="24" t="str">
        <f aca="false">IF(B289="Squat",IF(AND(E289&lt;=Summary!$B$7,OR(F289="",F289&lt;=Summary!$B$8)),"Correct","Incorrect"),IF(AND(E289&lt;=Summary!$B$9,OR(F289="",F289&gt;=Summary!$B$10)),"Correct","Incorrect"))</f>
        <v>Incorrect</v>
      </c>
      <c r="I289" s="26" t="s">
        <v>77</v>
      </c>
      <c r="J289" s="11" t="s">
        <v>78</v>
      </c>
      <c r="K289" s="24" t="str">
        <f aca="false">IF(J289="Yes",IF(I289="Correct","Incorrect","Correct"),I289)</f>
        <v>Incorrect</v>
      </c>
      <c r="L289" s="24" t="str">
        <f aca="false">IF(I289="Incorrect",IF(H289="Incorrect","TP","FN"),IF(H289="Incorrect","FP","TN"))</f>
        <v>TP</v>
      </c>
      <c r="M289" s="24" t="n">
        <f aca="false">IF(H289=I289,1,0)</f>
        <v>1</v>
      </c>
      <c r="N289" s="24" t="n">
        <f aca="false">IF(G289=I289,1,0)</f>
        <v>1</v>
      </c>
      <c r="O289" s="24" t="n">
        <f aca="false">IF(H289=K289,1,0)</f>
        <v>1</v>
      </c>
      <c r="P289" s="24"/>
      <c r="Q289" s="24" t="s">
        <v>96</v>
      </c>
    </row>
    <row r="290" customFormat="false" ht="15" hidden="false" customHeight="false" outlineLevel="0" collapsed="false">
      <c r="A290" s="11" t="s">
        <v>61</v>
      </c>
      <c r="B290" s="11" t="s">
        <v>32</v>
      </c>
      <c r="C290" s="11" t="n">
        <v>2</v>
      </c>
      <c r="D290" s="11" t="n">
        <v>9</v>
      </c>
      <c r="E290" s="25" t="n">
        <v>99</v>
      </c>
      <c r="F290" s="25" t="n">
        <v>19.2</v>
      </c>
      <c r="G290" s="11" t="s">
        <v>77</v>
      </c>
      <c r="H290" s="24" t="str">
        <f aca="false">IF(B290="Squat",IF(AND(E290&lt;=Summary!$B$7,OR(F290="",F290&lt;=Summary!$B$8)),"Correct","Incorrect"),IF(AND(E290&lt;=Summary!$B$9,OR(F290="",F290&gt;=Summary!$B$10)),"Correct","Incorrect"))</f>
        <v>Incorrect</v>
      </c>
      <c r="I290" s="26" t="s">
        <v>77</v>
      </c>
      <c r="J290" s="11" t="s">
        <v>78</v>
      </c>
      <c r="K290" s="24" t="str">
        <f aca="false">IF(J290="Yes",IF(I290="Correct","Incorrect","Correct"),I290)</f>
        <v>Incorrect</v>
      </c>
      <c r="L290" s="24" t="str">
        <f aca="false">IF(I290="Incorrect",IF(H290="Incorrect","TP","FN"),IF(H290="Incorrect","FP","TN"))</f>
        <v>TP</v>
      </c>
      <c r="M290" s="24" t="n">
        <f aca="false">IF(H290=I290,1,0)</f>
        <v>1</v>
      </c>
      <c r="N290" s="24" t="n">
        <f aca="false">IF(G290=I290,1,0)</f>
        <v>1</v>
      </c>
      <c r="O290" s="24" t="n">
        <f aca="false">IF(H290=K290,1,0)</f>
        <v>1</v>
      </c>
      <c r="P290" s="24"/>
      <c r="Q290" s="24" t="s">
        <v>96</v>
      </c>
    </row>
    <row r="291" customFormat="false" ht="15" hidden="false" customHeight="false" outlineLevel="0" collapsed="false">
      <c r="A291" s="11" t="s">
        <v>61</v>
      </c>
      <c r="B291" s="11" t="s">
        <v>32</v>
      </c>
      <c r="C291" s="11" t="n">
        <v>2</v>
      </c>
      <c r="D291" s="11" t="n">
        <v>10</v>
      </c>
      <c r="E291" s="25" t="n">
        <v>94.9</v>
      </c>
      <c r="F291" s="25" t="n">
        <v>16.9</v>
      </c>
      <c r="G291" s="11" t="s">
        <v>77</v>
      </c>
      <c r="H291" s="24" t="str">
        <f aca="false">IF(B291="Squat",IF(AND(E291&lt;=Summary!$B$7,OR(F291="",F291&lt;=Summary!$B$8)),"Correct","Incorrect"),IF(AND(E291&lt;=Summary!$B$9,OR(F291="",F291&gt;=Summary!$B$10)),"Correct","Incorrect"))</f>
        <v>Incorrect</v>
      </c>
      <c r="I291" s="26" t="s">
        <v>77</v>
      </c>
      <c r="J291" s="11" t="s">
        <v>78</v>
      </c>
      <c r="K291" s="24" t="str">
        <f aca="false">IF(J291="Yes",IF(I291="Correct","Incorrect","Correct"),I291)</f>
        <v>Incorrect</v>
      </c>
      <c r="L291" s="24" t="str">
        <f aca="false">IF(I291="Incorrect",IF(H291="Incorrect","TP","FN"),IF(H291="Incorrect","FP","TN"))</f>
        <v>TP</v>
      </c>
      <c r="M291" s="24" t="n">
        <f aca="false">IF(H291=I291,1,0)</f>
        <v>1</v>
      </c>
      <c r="N291" s="24" t="n">
        <f aca="false">IF(G291=I291,1,0)</f>
        <v>1</v>
      </c>
      <c r="O291" s="24" t="n">
        <f aca="false">IF(H291=K291,1,0)</f>
        <v>1</v>
      </c>
      <c r="P291" s="24"/>
      <c r="Q291" s="24" t="s">
        <v>96</v>
      </c>
    </row>
    <row r="292" customFormat="false" ht="15" hidden="false" customHeight="false" outlineLevel="0" collapsed="false">
      <c r="A292" s="11" t="s">
        <v>61</v>
      </c>
      <c r="B292" s="11" t="s">
        <v>32</v>
      </c>
      <c r="C292" s="11" t="n">
        <v>3</v>
      </c>
      <c r="D292" s="11" t="n">
        <v>1</v>
      </c>
      <c r="E292" s="25" t="n">
        <v>75.5</v>
      </c>
      <c r="F292" s="25" t="n">
        <v>34.3</v>
      </c>
      <c r="G292" s="11" t="s">
        <v>80</v>
      </c>
      <c r="H292" s="24" t="str">
        <f aca="false">IF(B292="Squat",IF(AND(E292&lt;=Summary!$B$7,OR(F292="",F292&lt;=Summary!$B$8)),"Correct","Incorrect"),IF(AND(E292&lt;=Summary!$B$9,OR(F292="",F292&gt;=Summary!$B$10)),"Correct","Incorrect"))</f>
        <v>Correct</v>
      </c>
      <c r="I292" s="26" t="s">
        <v>80</v>
      </c>
      <c r="J292" s="11" t="s">
        <v>78</v>
      </c>
      <c r="K292" s="24" t="str">
        <f aca="false">IF(J292="Yes",IF(I292="Correct","Incorrect","Correct"),I292)</f>
        <v>Correct</v>
      </c>
      <c r="L292" s="24" t="str">
        <f aca="false">IF(I292="Incorrect",IF(H292="Incorrect","TP","FN"),IF(H292="Incorrect","FP","TN"))</f>
        <v>TN</v>
      </c>
      <c r="M292" s="24" t="n">
        <f aca="false">IF(H292=I292,1,0)</f>
        <v>1</v>
      </c>
      <c r="N292" s="24" t="n">
        <f aca="false">IF(G292=I292,1,0)</f>
        <v>1</v>
      </c>
      <c r="O292" s="24" t="n">
        <f aca="false">IF(H292=K292,1,0)</f>
        <v>1</v>
      </c>
      <c r="P292" s="24"/>
      <c r="Q292" s="24" t="s">
        <v>96</v>
      </c>
    </row>
    <row r="293" customFormat="false" ht="15" hidden="false" customHeight="false" outlineLevel="0" collapsed="false">
      <c r="A293" s="11" t="s">
        <v>61</v>
      </c>
      <c r="B293" s="11" t="s">
        <v>32</v>
      </c>
      <c r="C293" s="11" t="n">
        <v>3</v>
      </c>
      <c r="D293" s="11" t="n">
        <v>2</v>
      </c>
      <c r="E293" s="25" t="n">
        <v>79.6</v>
      </c>
      <c r="F293" s="25" t="n">
        <v>36.4</v>
      </c>
      <c r="G293" s="11" t="s">
        <v>80</v>
      </c>
      <c r="H293" s="24" t="str">
        <f aca="false">IF(B293="Squat",IF(AND(E293&lt;=Summary!$B$7,OR(F293="",F293&lt;=Summary!$B$8)),"Correct","Incorrect"),IF(AND(E293&lt;=Summary!$B$9,OR(F293="",F293&gt;=Summary!$B$10)),"Correct","Incorrect"))</f>
        <v>Correct</v>
      </c>
      <c r="I293" s="26" t="s">
        <v>80</v>
      </c>
      <c r="J293" s="11" t="s">
        <v>78</v>
      </c>
      <c r="K293" s="24" t="str">
        <f aca="false">IF(J293="Yes",IF(I293="Correct","Incorrect","Correct"),I293)</f>
        <v>Correct</v>
      </c>
      <c r="L293" s="24" t="str">
        <f aca="false">IF(I293="Incorrect",IF(H293="Incorrect","TP","FN"),IF(H293="Incorrect","FP","TN"))</f>
        <v>TN</v>
      </c>
      <c r="M293" s="24" t="n">
        <f aca="false">IF(H293=I293,1,0)</f>
        <v>1</v>
      </c>
      <c r="N293" s="24" t="n">
        <f aca="false">IF(G293=I293,1,0)</f>
        <v>1</v>
      </c>
      <c r="O293" s="24" t="n">
        <f aca="false">IF(H293=K293,1,0)</f>
        <v>1</v>
      </c>
      <c r="P293" s="24"/>
      <c r="Q293" s="24" t="s">
        <v>96</v>
      </c>
    </row>
    <row r="294" customFormat="false" ht="15" hidden="false" customHeight="false" outlineLevel="0" collapsed="false">
      <c r="A294" s="11" t="s">
        <v>61</v>
      </c>
      <c r="B294" s="11" t="s">
        <v>32</v>
      </c>
      <c r="C294" s="11" t="n">
        <v>3</v>
      </c>
      <c r="D294" s="11" t="n">
        <v>3</v>
      </c>
      <c r="E294" s="25" t="n">
        <v>74.6</v>
      </c>
      <c r="F294" s="25" t="n">
        <v>36.7</v>
      </c>
      <c r="G294" s="11" t="s">
        <v>80</v>
      </c>
      <c r="H294" s="24" t="str">
        <f aca="false">IF(B294="Squat",IF(AND(E294&lt;=Summary!$B$7,OR(F294="",F294&lt;=Summary!$B$8)),"Correct","Incorrect"),IF(AND(E294&lt;=Summary!$B$9,OR(F294="",F294&gt;=Summary!$B$10)),"Correct","Incorrect"))</f>
        <v>Correct</v>
      </c>
      <c r="I294" s="26" t="s">
        <v>80</v>
      </c>
      <c r="J294" s="11" t="s">
        <v>78</v>
      </c>
      <c r="K294" s="24" t="str">
        <f aca="false">IF(J294="Yes",IF(I294="Correct","Incorrect","Correct"),I294)</f>
        <v>Correct</v>
      </c>
      <c r="L294" s="24" t="str">
        <f aca="false">IF(I294="Incorrect",IF(H294="Incorrect","TP","FN"),IF(H294="Incorrect","FP","TN"))</f>
        <v>TN</v>
      </c>
      <c r="M294" s="24" t="n">
        <f aca="false">IF(H294=I294,1,0)</f>
        <v>1</v>
      </c>
      <c r="N294" s="24" t="n">
        <f aca="false">IF(G294=I294,1,0)</f>
        <v>1</v>
      </c>
      <c r="O294" s="24" t="n">
        <f aca="false">IF(H294=K294,1,0)</f>
        <v>1</v>
      </c>
      <c r="P294" s="24"/>
      <c r="Q294" s="24" t="s">
        <v>96</v>
      </c>
    </row>
    <row r="295" customFormat="false" ht="15" hidden="false" customHeight="false" outlineLevel="0" collapsed="false">
      <c r="A295" s="11" t="s">
        <v>61</v>
      </c>
      <c r="B295" s="11" t="s">
        <v>32</v>
      </c>
      <c r="C295" s="11" t="n">
        <v>3</v>
      </c>
      <c r="D295" s="11" t="n">
        <v>4</v>
      </c>
      <c r="E295" s="25" t="n">
        <v>78.4</v>
      </c>
      <c r="F295" s="25" t="n">
        <v>33.3</v>
      </c>
      <c r="G295" s="11" t="s">
        <v>80</v>
      </c>
      <c r="H295" s="24" t="str">
        <f aca="false">IF(B295="Squat",IF(AND(E295&lt;=Summary!$B$7,OR(F295="",F295&lt;=Summary!$B$8)),"Correct","Incorrect"),IF(AND(E295&lt;=Summary!$B$9,OR(F295="",F295&gt;=Summary!$B$10)),"Correct","Incorrect"))</f>
        <v>Correct</v>
      </c>
      <c r="I295" s="26" t="s">
        <v>80</v>
      </c>
      <c r="J295" s="11" t="s">
        <v>78</v>
      </c>
      <c r="K295" s="24" t="str">
        <f aca="false">IF(J295="Yes",IF(I295="Correct","Incorrect","Correct"),I295)</f>
        <v>Correct</v>
      </c>
      <c r="L295" s="24" t="str">
        <f aca="false">IF(I295="Incorrect",IF(H295="Incorrect","TP","FN"),IF(H295="Incorrect","FP","TN"))</f>
        <v>TN</v>
      </c>
      <c r="M295" s="24" t="n">
        <f aca="false">IF(H295=I295,1,0)</f>
        <v>1</v>
      </c>
      <c r="N295" s="24" t="n">
        <f aca="false">IF(G295=I295,1,0)</f>
        <v>1</v>
      </c>
      <c r="O295" s="24" t="n">
        <f aca="false">IF(H295=K295,1,0)</f>
        <v>1</v>
      </c>
      <c r="P295" s="24"/>
      <c r="Q295" s="24" t="s">
        <v>96</v>
      </c>
    </row>
    <row r="296" customFormat="false" ht="15" hidden="false" customHeight="false" outlineLevel="0" collapsed="false">
      <c r="A296" s="11" t="s">
        <v>61</v>
      </c>
      <c r="B296" s="11" t="s">
        <v>32</v>
      </c>
      <c r="C296" s="11" t="n">
        <v>3</v>
      </c>
      <c r="D296" s="11" t="n">
        <v>5</v>
      </c>
      <c r="E296" s="25" t="n">
        <v>78.6</v>
      </c>
      <c r="F296" s="25" t="n">
        <v>39.2</v>
      </c>
      <c r="G296" s="11" t="s">
        <v>80</v>
      </c>
      <c r="H296" s="24" t="str">
        <f aca="false">IF(B296="Squat",IF(AND(E296&lt;=Summary!$B$7,OR(F296="",F296&lt;=Summary!$B$8)),"Correct","Incorrect"),IF(AND(E296&lt;=Summary!$B$9,OR(F296="",F296&gt;=Summary!$B$10)),"Correct","Incorrect"))</f>
        <v>Correct</v>
      </c>
      <c r="I296" s="26" t="s">
        <v>80</v>
      </c>
      <c r="J296" s="11" t="s">
        <v>78</v>
      </c>
      <c r="K296" s="24" t="str">
        <f aca="false">IF(J296="Yes",IF(I296="Correct","Incorrect","Correct"),I296)</f>
        <v>Correct</v>
      </c>
      <c r="L296" s="24" t="str">
        <f aca="false">IF(I296="Incorrect",IF(H296="Incorrect","TP","FN"),IF(H296="Incorrect","FP","TN"))</f>
        <v>TN</v>
      </c>
      <c r="M296" s="24" t="n">
        <f aca="false">IF(H296=I296,1,0)</f>
        <v>1</v>
      </c>
      <c r="N296" s="24" t="n">
        <f aca="false">IF(G296=I296,1,0)</f>
        <v>1</v>
      </c>
      <c r="O296" s="24" t="n">
        <f aca="false">IF(H296=K296,1,0)</f>
        <v>1</v>
      </c>
      <c r="P296" s="24"/>
      <c r="Q296" s="24" t="s">
        <v>96</v>
      </c>
    </row>
    <row r="297" customFormat="false" ht="15" hidden="false" customHeight="false" outlineLevel="0" collapsed="false">
      <c r="A297" s="11" t="s">
        <v>61</v>
      </c>
      <c r="B297" s="11" t="s">
        <v>32</v>
      </c>
      <c r="C297" s="11" t="n">
        <v>3</v>
      </c>
      <c r="D297" s="11" t="n">
        <v>6</v>
      </c>
      <c r="E297" s="25" t="n">
        <v>78.4</v>
      </c>
      <c r="F297" s="25" t="n">
        <v>38.2</v>
      </c>
      <c r="G297" s="11" t="s">
        <v>80</v>
      </c>
      <c r="H297" s="24" t="str">
        <f aca="false">IF(B297="Squat",IF(AND(E297&lt;=Summary!$B$7,OR(F297="",F297&lt;=Summary!$B$8)),"Correct","Incorrect"),IF(AND(E297&lt;=Summary!$B$9,OR(F297="",F297&gt;=Summary!$B$10)),"Correct","Incorrect"))</f>
        <v>Correct</v>
      </c>
      <c r="I297" s="26" t="s">
        <v>80</v>
      </c>
      <c r="J297" s="11" t="s">
        <v>78</v>
      </c>
      <c r="K297" s="24" t="str">
        <f aca="false">IF(J297="Yes",IF(I297="Correct","Incorrect","Correct"),I297)</f>
        <v>Correct</v>
      </c>
      <c r="L297" s="24" t="str">
        <f aca="false">IF(I297="Incorrect",IF(H297="Incorrect","TP","FN"),IF(H297="Incorrect","FP","TN"))</f>
        <v>TN</v>
      </c>
      <c r="M297" s="24" t="n">
        <f aca="false">IF(H297=I297,1,0)</f>
        <v>1</v>
      </c>
      <c r="N297" s="24" t="n">
        <f aca="false">IF(G297=I297,1,0)</f>
        <v>1</v>
      </c>
      <c r="O297" s="24" t="n">
        <f aca="false">IF(H297=K297,1,0)</f>
        <v>1</v>
      </c>
      <c r="P297" s="24"/>
      <c r="Q297" s="24" t="s">
        <v>96</v>
      </c>
    </row>
    <row r="298" customFormat="false" ht="15" hidden="false" customHeight="false" outlineLevel="0" collapsed="false">
      <c r="A298" s="11" t="s">
        <v>61</v>
      </c>
      <c r="B298" s="11" t="s">
        <v>32</v>
      </c>
      <c r="C298" s="11" t="n">
        <v>3</v>
      </c>
      <c r="D298" s="11" t="n">
        <v>7</v>
      </c>
      <c r="E298" s="25" t="n">
        <v>79.5</v>
      </c>
      <c r="F298" s="25" t="n">
        <v>38.4</v>
      </c>
      <c r="G298" s="11" t="s">
        <v>80</v>
      </c>
      <c r="H298" s="24" t="str">
        <f aca="false">IF(B298="Squat",IF(AND(E298&lt;=Summary!$B$7,OR(F298="",F298&lt;=Summary!$B$8)),"Correct","Incorrect"),IF(AND(E298&lt;=Summary!$B$9,OR(F298="",F298&gt;=Summary!$B$10)),"Correct","Incorrect"))</f>
        <v>Correct</v>
      </c>
      <c r="I298" s="26" t="s">
        <v>80</v>
      </c>
      <c r="J298" s="11" t="s">
        <v>78</v>
      </c>
      <c r="K298" s="24" t="str">
        <f aca="false">IF(J298="Yes",IF(I298="Correct","Incorrect","Correct"),I298)</f>
        <v>Correct</v>
      </c>
      <c r="L298" s="24" t="str">
        <f aca="false">IF(I298="Incorrect",IF(H298="Incorrect","TP","FN"),IF(H298="Incorrect","FP","TN"))</f>
        <v>TN</v>
      </c>
      <c r="M298" s="24" t="n">
        <f aca="false">IF(H298=I298,1,0)</f>
        <v>1</v>
      </c>
      <c r="N298" s="24" t="n">
        <f aca="false">IF(G298=I298,1,0)</f>
        <v>1</v>
      </c>
      <c r="O298" s="24" t="n">
        <f aca="false">IF(H298=K298,1,0)</f>
        <v>1</v>
      </c>
      <c r="P298" s="24"/>
      <c r="Q298" s="24" t="s">
        <v>96</v>
      </c>
    </row>
    <row r="299" customFormat="false" ht="15" hidden="false" customHeight="false" outlineLevel="0" collapsed="false">
      <c r="A299" s="11" t="s">
        <v>61</v>
      </c>
      <c r="B299" s="11" t="s">
        <v>32</v>
      </c>
      <c r="C299" s="11" t="n">
        <v>3</v>
      </c>
      <c r="D299" s="11" t="n">
        <v>8</v>
      </c>
      <c r="E299" s="25" t="n">
        <v>76.1</v>
      </c>
      <c r="F299" s="25" t="n">
        <v>38.2</v>
      </c>
      <c r="G299" s="11" t="s">
        <v>80</v>
      </c>
      <c r="H299" s="24" t="str">
        <f aca="false">IF(B299="Squat",IF(AND(E299&lt;=Summary!$B$7,OR(F299="",F299&lt;=Summary!$B$8)),"Correct","Incorrect"),IF(AND(E299&lt;=Summary!$B$9,OR(F299="",F299&gt;=Summary!$B$10)),"Correct","Incorrect"))</f>
        <v>Correct</v>
      </c>
      <c r="I299" s="26" t="s">
        <v>80</v>
      </c>
      <c r="J299" s="11" t="s">
        <v>78</v>
      </c>
      <c r="K299" s="24" t="str">
        <f aca="false">IF(J299="Yes",IF(I299="Correct","Incorrect","Correct"),I299)</f>
        <v>Correct</v>
      </c>
      <c r="L299" s="24" t="str">
        <f aca="false">IF(I299="Incorrect",IF(H299="Incorrect","TP","FN"),IF(H299="Incorrect","FP","TN"))</f>
        <v>TN</v>
      </c>
      <c r="M299" s="24" t="n">
        <f aca="false">IF(H299=I299,1,0)</f>
        <v>1</v>
      </c>
      <c r="N299" s="24" t="n">
        <f aca="false">IF(G299=I299,1,0)</f>
        <v>1</v>
      </c>
      <c r="O299" s="24" t="n">
        <f aca="false">IF(H299=K299,1,0)</f>
        <v>1</v>
      </c>
      <c r="P299" s="24"/>
      <c r="Q299" s="24" t="s">
        <v>96</v>
      </c>
    </row>
    <row r="300" customFormat="false" ht="15" hidden="false" customHeight="false" outlineLevel="0" collapsed="false">
      <c r="A300" s="11" t="s">
        <v>61</v>
      </c>
      <c r="B300" s="11" t="s">
        <v>32</v>
      </c>
      <c r="C300" s="11" t="n">
        <v>3</v>
      </c>
      <c r="D300" s="11" t="n">
        <v>9</v>
      </c>
      <c r="E300" s="25" t="n">
        <v>75.2</v>
      </c>
      <c r="F300" s="25" t="n">
        <v>38.1</v>
      </c>
      <c r="G300" s="11" t="s">
        <v>80</v>
      </c>
      <c r="H300" s="24" t="str">
        <f aca="false">IF(B300="Squat",IF(AND(E300&lt;=Summary!$B$7,OR(F300="",F300&lt;=Summary!$B$8)),"Correct","Incorrect"),IF(AND(E300&lt;=Summary!$B$9,OR(F300="",F300&gt;=Summary!$B$10)),"Correct","Incorrect"))</f>
        <v>Correct</v>
      </c>
      <c r="I300" s="26" t="s">
        <v>80</v>
      </c>
      <c r="J300" s="11" t="s">
        <v>78</v>
      </c>
      <c r="K300" s="24" t="str">
        <f aca="false">IF(J300="Yes",IF(I300="Correct","Incorrect","Correct"),I300)</f>
        <v>Correct</v>
      </c>
      <c r="L300" s="24" t="str">
        <f aca="false">IF(I300="Incorrect",IF(H300="Incorrect","TP","FN"),IF(H300="Incorrect","FP","TN"))</f>
        <v>TN</v>
      </c>
      <c r="M300" s="24" t="n">
        <f aca="false">IF(H300=I300,1,0)</f>
        <v>1</v>
      </c>
      <c r="N300" s="24" t="n">
        <f aca="false">IF(G300=I300,1,0)</f>
        <v>1</v>
      </c>
      <c r="O300" s="24" t="n">
        <f aca="false">IF(H300=K300,1,0)</f>
        <v>1</v>
      </c>
      <c r="P300" s="24"/>
      <c r="Q300" s="24" t="s">
        <v>96</v>
      </c>
    </row>
    <row r="301" customFormat="false" ht="15" hidden="false" customHeight="false" outlineLevel="0" collapsed="false">
      <c r="A301" s="11" t="s">
        <v>61</v>
      </c>
      <c r="B301" s="11" t="s">
        <v>32</v>
      </c>
      <c r="C301" s="11" t="n">
        <v>3</v>
      </c>
      <c r="D301" s="11" t="n">
        <v>10</v>
      </c>
      <c r="E301" s="25" t="n">
        <v>75.6</v>
      </c>
      <c r="F301" s="25" t="n">
        <v>39.5</v>
      </c>
      <c r="G301" s="11" t="s">
        <v>80</v>
      </c>
      <c r="H301" s="24" t="str">
        <f aca="false">IF(B301="Squat",IF(AND(E301&lt;=Summary!$B$7,OR(F301="",F301&lt;=Summary!$B$8)),"Correct","Incorrect"),IF(AND(E301&lt;=Summary!$B$9,OR(F301="",F301&gt;=Summary!$B$10)),"Correct","Incorrect"))</f>
        <v>Correct</v>
      </c>
      <c r="I301" s="26" t="s">
        <v>80</v>
      </c>
      <c r="J301" s="11" t="s">
        <v>78</v>
      </c>
      <c r="K301" s="24" t="str">
        <f aca="false">IF(J301="Yes",IF(I301="Correct","Incorrect","Correct"),I301)</f>
        <v>Correct</v>
      </c>
      <c r="L301" s="24" t="str">
        <f aca="false">IF(I301="Incorrect",IF(H301="Incorrect","TP","FN"),IF(H301="Incorrect","FP","TN"))</f>
        <v>TN</v>
      </c>
      <c r="M301" s="24" t="n">
        <f aca="false">IF(H301=I301,1,0)</f>
        <v>1</v>
      </c>
      <c r="N301" s="24" t="n">
        <f aca="false">IF(G301=I301,1,0)</f>
        <v>1</v>
      </c>
      <c r="O301" s="24" t="n">
        <f aca="false">IF(H301=K301,1,0)</f>
        <v>1</v>
      </c>
      <c r="P301" s="24"/>
      <c r="Q301" s="24" t="s">
        <v>96</v>
      </c>
    </row>
  </sheetData>
  <autoFilter ref="A1:Q301"/>
  <conditionalFormatting sqref="L2:L301">
    <cfRule type="expression" priority="2" aboveAverage="0" equalAverage="0" bottom="0" percent="0" rank="0" text="" dxfId="9">
      <formula>OR(L2="FP",L2="FN")</formula>
    </cfRule>
  </conditionalFormatting>
  <conditionalFormatting sqref="G2:G301">
    <cfRule type="expression" priority="3" aboveAverage="0" equalAverage="0" bottom="0" percent="0" rank="0" text="" dxfId="10">
      <formula>G2&lt;&gt;H2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97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9" t="s">
        <v>98</v>
      </c>
      <c r="B3" s="9" t="s">
        <v>99</v>
      </c>
      <c r="C3" s="9" t="s">
        <v>100</v>
      </c>
      <c r="D3" s="9" t="s">
        <v>101</v>
      </c>
    </row>
    <row r="4" customFormat="false" ht="52.2" hidden="false" customHeight="false" outlineLevel="0" collapsed="false">
      <c r="A4" s="28" t="s">
        <v>102</v>
      </c>
      <c r="B4" s="29" t="s">
        <v>103</v>
      </c>
      <c r="C4" s="30" t="s">
        <v>104</v>
      </c>
      <c r="D4" s="30" t="s">
        <v>105</v>
      </c>
    </row>
    <row r="5" customFormat="false" ht="39.55" hidden="false" customHeight="false" outlineLevel="0" collapsed="false">
      <c r="A5" s="28" t="s">
        <v>102</v>
      </c>
      <c r="B5" s="29" t="s">
        <v>106</v>
      </c>
      <c r="C5" s="30" t="s">
        <v>107</v>
      </c>
      <c r="D5" s="30" t="s">
        <v>108</v>
      </c>
    </row>
    <row r="6" customFormat="false" ht="39.55" hidden="false" customHeight="false" outlineLevel="0" collapsed="false">
      <c r="A6" s="31" t="s">
        <v>109</v>
      </c>
      <c r="B6" s="29" t="s">
        <v>110</v>
      </c>
      <c r="C6" s="30" t="s">
        <v>111</v>
      </c>
      <c r="D6" s="30" t="s">
        <v>112</v>
      </c>
    </row>
    <row r="7" customFormat="false" ht="39.55" hidden="false" customHeight="false" outlineLevel="0" collapsed="false">
      <c r="A7" s="31" t="s">
        <v>109</v>
      </c>
      <c r="B7" s="29" t="s">
        <v>113</v>
      </c>
      <c r="C7" s="30" t="s">
        <v>114</v>
      </c>
      <c r="D7" s="30" t="s">
        <v>115</v>
      </c>
    </row>
    <row r="8" customFormat="false" ht="39.55" hidden="false" customHeight="false" outlineLevel="0" collapsed="false">
      <c r="A8" s="31" t="s">
        <v>109</v>
      </c>
      <c r="B8" s="29" t="s">
        <v>116</v>
      </c>
      <c r="C8" s="30" t="s">
        <v>117</v>
      </c>
      <c r="D8" s="30" t="s">
        <v>118</v>
      </c>
    </row>
    <row r="9" customFormat="false" ht="39.55" hidden="false" customHeight="false" outlineLevel="0" collapsed="false">
      <c r="A9" s="32" t="s">
        <v>119</v>
      </c>
      <c r="B9" s="29" t="s">
        <v>120</v>
      </c>
      <c r="C9" s="30" t="s">
        <v>121</v>
      </c>
      <c r="D9" s="30" t="s">
        <v>122</v>
      </c>
    </row>
    <row r="10" customFormat="false" ht="26.85" hidden="false" customHeight="false" outlineLevel="0" collapsed="false">
      <c r="A10" s="32" t="s">
        <v>119</v>
      </c>
      <c r="B10" s="29" t="s">
        <v>123</v>
      </c>
      <c r="C10" s="30" t="s">
        <v>124</v>
      </c>
      <c r="D10" s="30" t="s">
        <v>125</v>
      </c>
    </row>
    <row r="11" customFormat="false" ht="26.85" hidden="false" customHeight="false" outlineLevel="0" collapsed="false">
      <c r="A11" s="33" t="s">
        <v>126</v>
      </c>
      <c r="B11" s="29" t="s">
        <v>127</v>
      </c>
      <c r="C11" s="30" t="s">
        <v>128</v>
      </c>
      <c r="D11" s="30" t="s">
        <v>129</v>
      </c>
    </row>
    <row r="12" customFormat="false" ht="26.85" hidden="false" customHeight="false" outlineLevel="0" collapsed="false">
      <c r="A12" s="33" t="s">
        <v>126</v>
      </c>
      <c r="B12" s="29" t="s">
        <v>130</v>
      </c>
      <c r="C12" s="30" t="s">
        <v>131</v>
      </c>
      <c r="D12" s="30" t="s">
        <v>132</v>
      </c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4" t="s">
        <v>133</v>
      </c>
      <c r="B14" s="2"/>
      <c r="C14" s="2"/>
      <c r="D14" s="2"/>
    </row>
    <row r="15" customFormat="false" ht="15" hidden="false" customHeight="false" outlineLevel="0" collapsed="false">
      <c r="A15" s="34" t="s">
        <v>134</v>
      </c>
      <c r="B15" s="2" t="s">
        <v>135</v>
      </c>
      <c r="C15" s="2"/>
      <c r="D15" s="2"/>
    </row>
    <row r="16" customFormat="false" ht="15" hidden="false" customHeight="false" outlineLevel="0" collapsed="false">
      <c r="A16" s="35" t="s">
        <v>136</v>
      </c>
      <c r="B16" s="2" t="s">
        <v>137</v>
      </c>
      <c r="C16" s="2"/>
      <c r="D16" s="2"/>
    </row>
    <row r="17" customFormat="false" ht="15" hidden="false" customHeight="false" outlineLevel="0" collapsed="false">
      <c r="A17" s="2" t="s">
        <v>138</v>
      </c>
      <c r="B17" s="2" t="s">
        <v>139</v>
      </c>
      <c r="C17" s="2"/>
      <c r="D17" s="2"/>
    </row>
    <row r="18" customFormat="false" ht="15" hidden="false" customHeight="false" outlineLevel="0" collapsed="false">
      <c r="A18" s="36" t="s">
        <v>140</v>
      </c>
      <c r="B18" s="2" t="s">
        <v>141</v>
      </c>
      <c r="C18" s="2"/>
      <c r="D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2026-10-14T06:59:15Z</dcterms:created>
  <dc:creator>openpyxl</dc:creator>
  <dc:description/>
  <dc:language>en-US</dc:language>
  <cp:lastModifiedBy/>
  <dcterms:modified xsi:type="dcterms:W3CDTF">2026-10-14T06:59:15Z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