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w Data" sheetId="2" state="visible" r:id="rId4"/>
    <sheet name="Issues &amp; To Do" sheetId="3" state="visible" r:id="rId5"/>
  </sheets>
  <definedNames>
    <definedName function="false" hidden="true" localSheetId="1" name="_xlnm._FilterDatabase" vbProcedure="false">'Raw Data'!$A$1:$L$248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Push-up: lowest elbow angle. Squat: lowest knee angle.</t>
        </r>
      </text>
    </comment>
    <comment ref="F1" authorId="0">
      <text>
        <r>
          <rPr>
            <sz val="10"/>
            <rFont val="Arial"/>
            <family val="2"/>
          </rPr>
          <t xml:space="preserve">Push-up only: shoulder-hip-ankle angle at the bottom. App flags &lt; 160°.</t>
        </r>
      </text>
    </comment>
    <comment ref="H1" authorId="0">
      <text>
        <r>
          <rPr>
            <sz val="10"/>
            <rFont val="Arial"/>
            <family val="2"/>
          </rPr>
          <t xml:space="preserve">What the tester actually did (from your notes on each set). Edit here if a label is wrong; every metric updates.</t>
        </r>
      </text>
    </comment>
  </commentList>
</comments>
</file>

<file path=xl/sharedStrings.xml><?xml version="1.0" encoding="utf-8"?>
<sst xmlns="http://schemas.openxmlformats.org/spreadsheetml/2006/main" count="381" uniqueCount="94">
  <si>
    <t xml:space="preserve">Posture Detection Accuracy - Pilot Round</t>
  </si>
  <si>
    <t xml:space="preserve">Pilot data from the pre-Phase-29 analyser (old thresholds). All figures are formulas over Raw Data.</t>
  </si>
  <si>
    <t xml:space="preserve">Target accuracy</t>
  </si>
  <si>
    <t xml:space="preserve">Objective 2 target (revised from 90% in the proposal)</t>
  </si>
  <si>
    <t xml:space="preserve">z (95% CI)</t>
  </si>
  <si>
    <t xml:space="preserve">Wilson score interval</t>
  </si>
  <si>
    <t xml:space="preserve">Exercise</t>
  </si>
  <si>
    <t xml:space="preserve">Testers</t>
  </si>
  <si>
    <t xml:space="preserve">Reps</t>
  </si>
  <si>
    <t xml:space="preserve">TP</t>
  </si>
  <si>
    <t xml:space="preserve">TN</t>
  </si>
  <si>
    <t xml:space="preserve">FP</t>
  </si>
  <si>
    <t xml:space="preserve">FN</t>
  </si>
  <si>
    <t xml:space="preserve">Accuracy</t>
  </si>
  <si>
    <t xml:space="preserve">95% CI low</t>
  </si>
  <si>
    <t xml:space="preserve">95% CI high</t>
  </si>
  <si>
    <t xml:space="preserve">Precision</t>
  </si>
  <si>
    <t xml:space="preserve">Recall</t>
  </si>
  <si>
    <t xml:space="preserve">Specificity</t>
  </si>
  <si>
    <t xml:space="preserve">F1</t>
  </si>
  <si>
    <t xml:space="preserve">Meets target?</t>
  </si>
  <si>
    <t xml:space="preserve">Push-up</t>
  </si>
  <si>
    <t xml:space="preserve">Squat</t>
  </si>
  <si>
    <t xml:space="preserve">OVERALL</t>
  </si>
  <si>
    <t xml:space="preserve">Positive class = INCORRECT form. Recall = share of bad reps the app caught; Specificity = share of good reps it correctly passed. Testers column is typed in (blue).</t>
  </si>
  <si>
    <t xml:space="preserve">Confusion matrix - Push-up</t>
  </si>
  <si>
    <t xml:space="preserve">Predicted Correct</t>
  </si>
  <si>
    <t xml:space="preserve">Predicted Incorrect</t>
  </si>
  <si>
    <t xml:space="preserve">Total</t>
  </si>
  <si>
    <t xml:space="preserve">Actual Correct</t>
  </si>
  <si>
    <t xml:space="preserve">Actual Incorrect</t>
  </si>
  <si>
    <t xml:space="preserve">Confusion matrix - Squat</t>
  </si>
  <si>
    <t xml:space="preserve">Accuracy by tester</t>
  </si>
  <si>
    <t xml:space="preserve">Tester</t>
  </si>
  <si>
    <t xml:space="preserve">Matches</t>
  </si>
  <si>
    <t xml:space="preserve">T01</t>
  </si>
  <si>
    <t xml:space="preserve">T02</t>
  </si>
  <si>
    <t xml:space="preserve">T03</t>
  </si>
  <si>
    <t xml:space="preserve">Round</t>
  </si>
  <si>
    <t xml:space="preserve">Rep</t>
  </si>
  <si>
    <t xml:space="preserve">Primary angle (°)</t>
  </si>
  <si>
    <t xml:space="preserve">Body line (°)</t>
  </si>
  <si>
    <t xml:space="preserve">App verdict</t>
  </si>
  <si>
    <t xml:space="preserve">Ground truth</t>
  </si>
  <si>
    <t xml:space="preserve">Fault</t>
  </si>
  <si>
    <t xml:space="preserve">Outcome</t>
  </si>
  <si>
    <t xml:space="preserve">Match</t>
  </si>
  <si>
    <t xml:space="preserve">Notes</t>
  </si>
  <si>
    <t xml:space="preserve">Pilot (pre-Phase 29)</t>
  </si>
  <si>
    <t xml:space="preserve">Correct</t>
  </si>
  <si>
    <t xml:space="preserve">Incorrect</t>
  </si>
  <si>
    <t xml:space="preserve">not recorded</t>
  </si>
  <si>
    <t xml:space="preserve">Ground truth ASSUMED (first 5 correct, last 5 wrong) - confirm</t>
  </si>
  <si>
    <t xml:space="preserve">Labelled correct but knee 33.2° is very deep - check</t>
  </si>
  <si>
    <t xml:space="preserve">too_deep</t>
  </si>
  <si>
    <t xml:space="preserve">Log line was truncated ("LIDATION|...") - values intact</t>
  </si>
  <si>
    <t xml:space="preserve">Data issues and remaining work</t>
  </si>
  <si>
    <t xml:space="preserve">Priority</t>
  </si>
  <si>
    <t xml:space="preserve">Item</t>
  </si>
  <si>
    <t xml:space="preserve">Detail / action</t>
  </si>
  <si>
    <t xml:space="preserve">CRITICAL</t>
  </si>
  <si>
    <t xml:space="preserve">Pilot data was produced by the OLD analyser</t>
  </si>
  <si>
    <t xml:space="preserve">Squat lines have 5 fields (no trunk lean), and deep squats (&lt;80°) were judged wrong. The current Phase 29 code logs 6 fields for squats, removed the "too deep" fault, and now treats parallel-or-deeper (≤80°) as correct. Under today's rules most of the squat "wrong" reps would be correct form. Report this round as a PILOT, then re-run on the Phase 29 build.</t>
  </si>
  <si>
    <t xml:space="preserve">HIGH</t>
  </si>
  <si>
    <t xml:space="preserve">Push-up Tester 2 has no data</t>
  </si>
  <si>
    <t xml:space="preserve">The heading was pasted with no VALIDATION lines. Re-record.</t>
  </si>
  <si>
    <t xml:space="preserve">Push-up Tester 3 ground truth assumed</t>
  </si>
  <si>
    <t xml:space="preserve">No set note was given; assumed first 5 correct, last 5 wrong (same as T01). Reps 8-10 were "wrong" but body line was 168-171° (straight), so the tester may have done a fault the app does not measure. Confirm what T03 actually did.</t>
  </si>
  <si>
    <t xml:space="preserve">MEDIUM</t>
  </si>
  <si>
    <t xml:space="preserve">Fault type not recorded for push-ups</t>
  </si>
  <si>
    <t xml:space="preserve">Note which fault each "wrong" set used (hips_sag, hips_pike, shallow). Needed for the fault-type breakdown.</t>
  </si>
  <si>
    <t xml:space="preserve">Missing squat reps</t>
  </si>
  <si>
    <t xml:space="preserve">T01 log starts at rep 3, T02 at rep 1 missing. Either the copy was cut off or the app did not count them. If not counted, record as missed reps (rep detection rate).</t>
  </si>
  <si>
    <t xml:space="preserve">LOW</t>
  </si>
  <si>
    <t xml:space="preserve">Squat T01 rep 3</t>
  </si>
  <si>
    <t xml:space="preserve">Labelled correct but knee angle 33.2° is very deep. Check whether it was a warm-up or mislabelled.</t>
  </si>
  <si>
    <t xml:space="preserve">Squat T01 rep 9</t>
  </si>
  <si>
    <t xml:space="preserve">Line was truncated ("LIDATION|...") when copied; values kept. Using capture.py avoids copy-paste errors.</t>
  </si>
  <si>
    <t xml:space="preserve">TODO</t>
  </si>
  <si>
    <t xml:space="preserve">Re-run squat + push-up on the Phase 29 build</t>
  </si>
  <si>
    <t xml:space="preserve">Faults to use now: squat = shallow (stop around 90-110°) and excessive forward lean; push-up = shallow (elbow 100-120°), hips_sag, hips_pike.</t>
  </si>
  <si>
    <t xml:space="preserve">Deadlift</t>
  </si>
  <si>
    <t xml:space="preserve">No data yet. Phase 29 deadlift still has no failure condition beyond depth (no spine landmarks), so state it as a limitation or add a lockout/depth fault test.</t>
  </si>
  <si>
    <t xml:space="preserve">Reach sample size</t>
  </si>
  <si>
    <t xml:space="preserve">≥ 3 testers × 20 reps per exercise (10 correct + 10 wrong). Current pilot: push-up 20 scored reps, squat 27.</t>
  </si>
  <si>
    <t xml:space="preserve">Use capture.py for the real round</t>
  </si>
  <si>
    <t xml:space="preserve">It labels each set live and writes the CSV, so no copy-paste and no assumed labels.</t>
  </si>
  <si>
    <t xml:space="preserve">Legend</t>
  </si>
  <si>
    <t xml:space="preserve">Blue text</t>
  </si>
  <si>
    <t xml:space="preserve">Values typed in from the logs or your notes</t>
  </si>
  <si>
    <t xml:space="preserve">Yellow fill</t>
  </si>
  <si>
    <t xml:space="preserve">Ground truth: edit here if a label is wrong; every metric recalculates</t>
  </si>
  <si>
    <t xml:space="preserve">Black text</t>
  </si>
  <si>
    <t xml:space="preserve">Formulas: do not overwrite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</si>
</sst>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General"/>
    <numFmt numFmtId="167" formatCode="0.0%"/>
    <numFmt numFmtId="168" formatCode="0.00"/>
    <numFmt numFmtId="169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4B5563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4B5563"/>
      <name val="Arial"/>
      <family val="0"/>
      <charset val="1"/>
    </font>
    <font>
      <sz val="11"/>
      <color rgb="FFB45309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EDD5"/>
      </patternFill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  <fill>
      <patternFill patternType="solid">
        <fgColor rgb="FFFDE2E1"/>
        <bgColor rgb="FFFFEDD5"/>
      </patternFill>
    </fill>
    <fill>
      <patternFill patternType="solid">
        <fgColor rgb="FFFFEDD5"/>
        <bgColor rgb="FFFFF2CC"/>
      </patternFill>
    </fill>
    <fill>
      <patternFill patternType="solid">
        <fgColor rgb="FFFEF9C3"/>
        <bgColor rgb="FFFFF2CC"/>
      </patternFill>
    </fill>
    <fill>
      <patternFill patternType="solid">
        <fgColor rgb="FFDBEAFE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D1FAE5"/>
        </patternFill>
      </fill>
    </dxf>
    <dxf>
      <fill>
        <patternFill>
          <bgColor rgb="FFFDE2E1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B4530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EDD5"/>
      <rgbColor rgb="FF808080"/>
      <rgbColor rgb="FF9999FF"/>
      <rgbColor rgb="FF993366"/>
      <rgbColor rgb="FFFEF9C3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FFF2CC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339966"/>
      <rgbColor rgb="FF003300"/>
      <rgbColor rgb="FF333300"/>
      <rgbColor rgb="FFB45309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7" min="4" style="0" width="8"/>
    <col collapsed="false" customWidth="true" hidden="false" outlineLevel="0" max="12" min="8" style="0" width="10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5" min="15" style="0" width="1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4" t="s">
        <v>2</v>
      </c>
      <c r="B4" s="5" t="n">
        <v>0.75</v>
      </c>
      <c r="C4" s="2" t="s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15" hidden="false" customHeight="false" outlineLevel="0" collapsed="false">
      <c r="A5" s="4" t="s">
        <v>4</v>
      </c>
      <c r="B5" s="6" t="n">
        <v>1.96</v>
      </c>
      <c r="C5" s="2" t="s">
        <v>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customFormat="false" ht="30" hidden="false" customHeight="true" outlineLevel="0" collapsed="false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</row>
    <row r="8" customFormat="false" ht="15" hidden="false" customHeight="false" outlineLevel="0" collapsed="false">
      <c r="A8" s="8" t="s">
        <v>21</v>
      </c>
      <c r="B8" s="9" t="n">
        <v>2</v>
      </c>
      <c r="C8" s="10" t="n">
        <f aca="false">SUM(D8:G8)</f>
        <v>20</v>
      </c>
      <c r="D8" s="10" t="n">
        <f aca="false">COUNTIFS('Raw Data'!$J$2:$J$1000,"TP",'Raw Data'!$C$2:$C$1000,$A8)</f>
        <v>6</v>
      </c>
      <c r="E8" s="10" t="n">
        <f aca="false">COUNTIFS('Raw Data'!$J$2:$J$1000,"TN",'Raw Data'!$C$2:$C$1000,$A8)</f>
        <v>9</v>
      </c>
      <c r="F8" s="10" t="n">
        <f aca="false">COUNTIFS('Raw Data'!$J$2:$J$1000,"FP",'Raw Data'!$C$2:$C$1000,$A8)</f>
        <v>1</v>
      </c>
      <c r="G8" s="10" t="n">
        <f aca="false">COUNTIFS('Raw Data'!$J$2:$J$1000,"FN",'Raw Data'!$C$2:$C$1000,$A8)</f>
        <v>4</v>
      </c>
      <c r="H8" s="11" t="n">
        <f aca="false">IF(C8=0,"",(D8+E8)/C8)</f>
        <v>0.75</v>
      </c>
      <c r="I8" s="11" t="n">
        <f aca="false">IF(C8=0,"",(H8+$B$5^2/(2*C8)-$B$5*SQRT(H8*(1-H8)/C8+$B$5^2/(4*C8^2)))/(1+$B$5^2/C8))</f>
        <v>0.531294990041937</v>
      </c>
      <c r="J8" s="11" t="n">
        <f aca="false">IF(C8=0,"",(H8+$B$5^2/(2*C8)+$B$5*SQRT(H8*(1-H8)/C8+$B$5^2/(4*C8^2)))/(1+$B$5^2/C8))</f>
        <v>0.888139947210597</v>
      </c>
      <c r="K8" s="11" t="n">
        <f aca="false">IF(D8+F8=0,"",D8/(D8+F8))</f>
        <v>0.857142857142857</v>
      </c>
      <c r="L8" s="11" t="n">
        <f aca="false">IF(D8+G8=0,"",D8/(D8+G8))</f>
        <v>0.6</v>
      </c>
      <c r="M8" s="11" t="n">
        <f aca="false">IF(E8+F8=0,"",E8/(E8+F8))</f>
        <v>0.9</v>
      </c>
      <c r="N8" s="12" t="n">
        <f aca="false">IF(OR(K8="",L8=""),"",IF(K8+L8=0,0,2*K8*L8/(K8+L8)))</f>
        <v>0.705882352941176</v>
      </c>
      <c r="O8" s="13" t="str">
        <f aca="false">IF(H8="","",IF(H8&gt;=$B$4,"Yes","No"))</f>
        <v>Yes</v>
      </c>
    </row>
    <row r="9" customFormat="false" ht="15" hidden="false" customHeight="false" outlineLevel="0" collapsed="false">
      <c r="A9" s="8" t="s">
        <v>22</v>
      </c>
      <c r="B9" s="9" t="n">
        <v>3</v>
      </c>
      <c r="C9" s="10" t="n">
        <f aca="false">SUM(D9:G9)</f>
        <v>27</v>
      </c>
      <c r="D9" s="10" t="n">
        <f aca="false">COUNTIFS('Raw Data'!$J$2:$J$1000,"TP",'Raw Data'!$C$2:$C$1000,$A9)</f>
        <v>12</v>
      </c>
      <c r="E9" s="10" t="n">
        <f aca="false">COUNTIFS('Raw Data'!$J$2:$J$1000,"TN",'Raw Data'!$C$2:$C$1000,$A9)</f>
        <v>11</v>
      </c>
      <c r="F9" s="10" t="n">
        <f aca="false">COUNTIFS('Raw Data'!$J$2:$J$1000,"FP",'Raw Data'!$C$2:$C$1000,$A9)</f>
        <v>3</v>
      </c>
      <c r="G9" s="10" t="n">
        <f aca="false">COUNTIFS('Raw Data'!$J$2:$J$1000,"FN",'Raw Data'!$C$2:$C$1000,$A9)</f>
        <v>1</v>
      </c>
      <c r="H9" s="11" t="n">
        <f aca="false">IF(C9=0,"",(D9+E9)/C9)</f>
        <v>0.851851851851852</v>
      </c>
      <c r="I9" s="11" t="n">
        <f aca="false">IF(C9=0,"",(H9+$B$5^2/(2*C9)-$B$5*SQRT(H9*(1-H9)/C9+$B$5^2/(4*C9^2)))/(1+$B$5^2/C9))</f>
        <v>0.675209366531705</v>
      </c>
      <c r="J9" s="11" t="n">
        <f aca="false">IF(C9=0,"",(H9+$B$5^2/(2*C9)+$B$5*SQRT(H9*(1-H9)/C9+$B$5^2/(4*C9^2)))/(1+$B$5^2/C9))</f>
        <v>0.940841681403551</v>
      </c>
      <c r="K9" s="11" t="n">
        <f aca="false">IF(D9+F9=0,"",D9/(D9+F9))</f>
        <v>0.8</v>
      </c>
      <c r="L9" s="11" t="n">
        <f aca="false">IF(D9+G9=0,"",D9/(D9+G9))</f>
        <v>0.923076923076923</v>
      </c>
      <c r="M9" s="11" t="n">
        <f aca="false">IF(E9+F9=0,"",E9/(E9+F9))</f>
        <v>0.785714285714286</v>
      </c>
      <c r="N9" s="12" t="n">
        <f aca="false">IF(OR(K9="",L9=""),"",IF(K9+L9=0,0,2*K9*L9/(K9+L9)))</f>
        <v>0.857142857142857</v>
      </c>
      <c r="O9" s="13" t="str">
        <f aca="false">IF(H9="","",IF(H9&gt;=$B$4,"Yes","No"))</f>
        <v>Yes</v>
      </c>
    </row>
    <row r="10" customFormat="false" ht="15" hidden="false" customHeight="false" outlineLevel="0" collapsed="false">
      <c r="A10" s="14" t="s">
        <v>23</v>
      </c>
      <c r="B10" s="15" t="n">
        <f aca="false">MAX(B8:B9)</f>
        <v>3</v>
      </c>
      <c r="C10" s="16" t="n">
        <f aca="false">SUM(D10:G10)</f>
        <v>47</v>
      </c>
      <c r="D10" s="16" t="n">
        <f aca="false">COUNTIFS('Raw Data'!$J$2:$J$1000,"TP")</f>
        <v>18</v>
      </c>
      <c r="E10" s="16" t="n">
        <f aca="false">COUNTIFS('Raw Data'!$J$2:$J$1000,"TN")</f>
        <v>20</v>
      </c>
      <c r="F10" s="16" t="n">
        <f aca="false">COUNTIFS('Raw Data'!$J$2:$J$1000,"FP")</f>
        <v>4</v>
      </c>
      <c r="G10" s="16" t="n">
        <f aca="false">COUNTIFS('Raw Data'!$J$2:$J$1000,"FN")</f>
        <v>5</v>
      </c>
      <c r="H10" s="17" t="n">
        <f aca="false">IF(C10=0,"",(D10+E10)/C10)</f>
        <v>0.808510638297872</v>
      </c>
      <c r="I10" s="17" t="n">
        <f aca="false">IF(C10=0,"",(H10+$B$5^2/(2*C10)-$B$5*SQRT(H10*(1-H10)/C10+$B$5^2/(4*C10^2)))/(1+$B$5^2/C10))</f>
        <v>0.674557199356223</v>
      </c>
      <c r="J10" s="17" t="n">
        <f aca="false">IF(C10=0,"",(H10+$B$5^2/(2*C10)+$B$5*SQRT(H10*(1-H10)/C10+$B$5^2/(4*C10^2)))/(1+$B$5^2/C10))</f>
        <v>0.895841843946899</v>
      </c>
      <c r="K10" s="17" t="n">
        <f aca="false">IF(D10+F10=0,"",D10/(D10+F10))</f>
        <v>0.818181818181818</v>
      </c>
      <c r="L10" s="17" t="n">
        <f aca="false">IF(D10+G10=0,"",D10/(D10+G10))</f>
        <v>0.782608695652174</v>
      </c>
      <c r="M10" s="17" t="n">
        <f aca="false">IF(E10+F10=0,"",E10/(E10+F10))</f>
        <v>0.833333333333333</v>
      </c>
      <c r="N10" s="18" t="n">
        <f aca="false">IF(OR(K10="",L10=""),"",IF(K10+L10=0,0,2*K10*L10/(K10+L10)))</f>
        <v>0.8</v>
      </c>
      <c r="O10" s="19" t="str">
        <f aca="false">IF(H10="","",IF(H10&gt;=$B$4,"Yes","No"))</f>
        <v>Yes</v>
      </c>
    </row>
    <row r="11" customFormat="false" ht="15" hidden="false" customHeight="false" outlineLevel="0" collapsed="false">
      <c r="A11" s="20" t="s">
        <v>24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customFormat="false" ht="15" hidden="false" customHeight="false" outlineLevel="0" collapsed="false">
      <c r="A13" s="4" t="s">
        <v>25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customFormat="false" ht="15" hidden="false" customHeight="false" outlineLevel="0" collapsed="false">
      <c r="A14" s="21"/>
      <c r="B14" s="21" t="s">
        <v>26</v>
      </c>
      <c r="C14" s="21" t="s">
        <v>27</v>
      </c>
      <c r="D14" s="21" t="s">
        <v>28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5" hidden="false" customHeight="false" outlineLevel="0" collapsed="false">
      <c r="A15" s="8" t="s">
        <v>29</v>
      </c>
      <c r="B15" s="10" t="n">
        <f aca="false">E8</f>
        <v>9</v>
      </c>
      <c r="C15" s="10" t="n">
        <f aca="false">F8</f>
        <v>1</v>
      </c>
      <c r="D15" s="10" t="n">
        <f aca="false">B15+C15</f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5" hidden="false" customHeight="false" outlineLevel="0" collapsed="false">
      <c r="A16" s="8" t="s">
        <v>30</v>
      </c>
      <c r="B16" s="10" t="n">
        <f aca="false">G8</f>
        <v>4</v>
      </c>
      <c r="C16" s="10" t="n">
        <f aca="false">D8</f>
        <v>6</v>
      </c>
      <c r="D16" s="10" t="n">
        <f aca="false">B16+C16</f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5" hidden="false" customHeight="false" outlineLevel="0" collapsed="false">
      <c r="A19" s="4" t="s">
        <v>31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customFormat="false" ht="15" hidden="false" customHeight="false" outlineLevel="0" collapsed="false">
      <c r="A20" s="21"/>
      <c r="B20" s="21" t="s">
        <v>26</v>
      </c>
      <c r="C20" s="21" t="s">
        <v>27</v>
      </c>
      <c r="D20" s="21" t="s">
        <v>28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customFormat="false" ht="15" hidden="false" customHeight="false" outlineLevel="0" collapsed="false">
      <c r="A21" s="8" t="s">
        <v>29</v>
      </c>
      <c r="B21" s="10" t="n">
        <f aca="false">E9</f>
        <v>11</v>
      </c>
      <c r="C21" s="10" t="n">
        <f aca="false">F9</f>
        <v>3</v>
      </c>
      <c r="D21" s="10" t="n">
        <f aca="false">B21+C21</f>
        <v>14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customFormat="false" ht="15" hidden="false" customHeight="false" outlineLevel="0" collapsed="false">
      <c r="A22" s="8" t="s">
        <v>30</v>
      </c>
      <c r="B22" s="10" t="n">
        <f aca="false">G9</f>
        <v>1</v>
      </c>
      <c r="C22" s="10" t="n">
        <f aca="false">D9</f>
        <v>12</v>
      </c>
      <c r="D22" s="10" t="n">
        <f aca="false">B22+C22</f>
        <v>13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customFormat="false" ht="15" hidden="false" customHeight="false" outlineLevel="0" collapsed="false">
      <c r="A25" s="4" t="s">
        <v>32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5" hidden="false" customHeight="false" outlineLevel="0" collapsed="false">
      <c r="A26" s="21" t="s">
        <v>6</v>
      </c>
      <c r="B26" s="21" t="s">
        <v>33</v>
      </c>
      <c r="C26" s="21" t="s">
        <v>8</v>
      </c>
      <c r="D26" s="21" t="s">
        <v>34</v>
      </c>
      <c r="E26" s="21" t="s">
        <v>13</v>
      </c>
      <c r="F26" s="2"/>
      <c r="G26" s="2"/>
      <c r="H26" s="2"/>
      <c r="I26" s="2"/>
      <c r="J26" s="2"/>
      <c r="K26" s="2"/>
      <c r="L26" s="2"/>
      <c r="M26" s="2"/>
      <c r="N26" s="2"/>
      <c r="O26" s="2"/>
    </row>
    <row r="27" customFormat="false" ht="15" hidden="false" customHeight="false" outlineLevel="0" collapsed="false">
      <c r="A27" s="10" t="s">
        <v>21</v>
      </c>
      <c r="B27" s="10" t="s">
        <v>35</v>
      </c>
      <c r="C27" s="10" t="n">
        <f aca="false">COUNTIFS('Raw Data'!$C$2:$C$1000,A27,'Raw Data'!$B$2:$B$1000,B27,'Raw Data'!$K$2:$K$1000,"&lt;&gt;")</f>
        <v>10</v>
      </c>
      <c r="D27" s="10" t="n">
        <f aca="false">SUMIFS('Raw Data'!$K$2:$K$1000,'Raw Data'!$C$2:$C$1000,A27,'Raw Data'!$B$2:$B$1000,B27)</f>
        <v>9</v>
      </c>
      <c r="E27" s="11" t="n">
        <f aca="false">IF(C27=0,"no data",D27/C27)</f>
        <v>0.9</v>
      </c>
      <c r="F27" s="2"/>
      <c r="G27" s="2"/>
      <c r="H27" s="2"/>
      <c r="I27" s="2"/>
      <c r="J27" s="2"/>
      <c r="K27" s="2"/>
      <c r="L27" s="2"/>
      <c r="M27" s="2"/>
      <c r="N27" s="2"/>
      <c r="O27" s="2"/>
    </row>
    <row r="28" customFormat="false" ht="15" hidden="false" customHeight="false" outlineLevel="0" collapsed="false">
      <c r="A28" s="10" t="s">
        <v>21</v>
      </c>
      <c r="B28" s="10" t="s">
        <v>36</v>
      </c>
      <c r="C28" s="10" t="n">
        <f aca="false">COUNTIFS('Raw Data'!$C$2:$C$1000,A28,'Raw Data'!$B$2:$B$1000,B28,'Raw Data'!$K$2:$K$1000,"&lt;&gt;")</f>
        <v>0</v>
      </c>
      <c r="D28" s="10" t="n">
        <f aca="false">SUMIFS('Raw Data'!$K$2:$K$1000,'Raw Data'!$C$2:$C$1000,A28,'Raw Data'!$B$2:$B$1000,B28)</f>
        <v>0</v>
      </c>
      <c r="E28" s="11" t="str">
        <f aca="false">IF(C28=0,"no data",D28/C28)</f>
        <v>no data</v>
      </c>
      <c r="F28" s="2"/>
      <c r="G28" s="2"/>
      <c r="H28" s="2"/>
      <c r="I28" s="2"/>
      <c r="J28" s="2"/>
      <c r="K28" s="2"/>
      <c r="L28" s="2"/>
      <c r="M28" s="2"/>
      <c r="N28" s="2"/>
      <c r="O28" s="2"/>
    </row>
    <row r="29" customFormat="false" ht="15" hidden="false" customHeight="false" outlineLevel="0" collapsed="false">
      <c r="A29" s="10" t="s">
        <v>21</v>
      </c>
      <c r="B29" s="10" t="s">
        <v>37</v>
      </c>
      <c r="C29" s="10" t="n">
        <f aca="false">COUNTIFS('Raw Data'!$C$2:$C$1000,A29,'Raw Data'!$B$2:$B$1000,B29,'Raw Data'!$K$2:$K$1000,"&lt;&gt;")</f>
        <v>10</v>
      </c>
      <c r="D29" s="10" t="n">
        <f aca="false">SUMIFS('Raw Data'!$K$2:$K$1000,'Raw Data'!$C$2:$C$1000,A29,'Raw Data'!$B$2:$B$1000,B29)</f>
        <v>6</v>
      </c>
      <c r="E29" s="11" t="n">
        <f aca="false">IF(C29=0,"no data",D29/C29)</f>
        <v>0.6</v>
      </c>
      <c r="F29" s="2"/>
      <c r="G29" s="2"/>
      <c r="H29" s="2"/>
      <c r="I29" s="2"/>
      <c r="J29" s="2"/>
      <c r="K29" s="2"/>
      <c r="L29" s="2"/>
      <c r="M29" s="2"/>
      <c r="N29" s="2"/>
      <c r="O29" s="2"/>
    </row>
    <row r="30" customFormat="false" ht="15" hidden="false" customHeight="false" outlineLevel="0" collapsed="false">
      <c r="A30" s="10" t="s">
        <v>22</v>
      </c>
      <c r="B30" s="10" t="s">
        <v>35</v>
      </c>
      <c r="C30" s="10" t="n">
        <f aca="false">COUNTIFS('Raw Data'!$C$2:$C$1000,A30,'Raw Data'!$B$2:$B$1000,B30,'Raw Data'!$K$2:$K$1000,"&lt;&gt;")</f>
        <v>8</v>
      </c>
      <c r="D30" s="10" t="n">
        <f aca="false">SUMIFS('Raw Data'!$K$2:$K$1000,'Raw Data'!$C$2:$C$1000,A30,'Raw Data'!$B$2:$B$1000,B30)</f>
        <v>7</v>
      </c>
      <c r="E30" s="11" t="n">
        <f aca="false">IF(C30=0,"no data",D30/C30)</f>
        <v>0.875</v>
      </c>
      <c r="F30" s="2"/>
      <c r="G30" s="2"/>
      <c r="H30" s="2"/>
      <c r="I30" s="2"/>
      <c r="J30" s="2"/>
      <c r="K30" s="2"/>
      <c r="L30" s="2"/>
      <c r="M30" s="2"/>
      <c r="N30" s="2"/>
      <c r="O30" s="2"/>
    </row>
    <row r="31" customFormat="false" ht="15" hidden="false" customHeight="false" outlineLevel="0" collapsed="false">
      <c r="A31" s="10" t="s">
        <v>22</v>
      </c>
      <c r="B31" s="10" t="s">
        <v>36</v>
      </c>
      <c r="C31" s="10" t="n">
        <f aca="false">COUNTIFS('Raw Data'!$C$2:$C$1000,A31,'Raw Data'!$B$2:$B$1000,B31,'Raw Data'!$K$2:$K$1000,"&lt;&gt;")</f>
        <v>9</v>
      </c>
      <c r="D31" s="10" t="n">
        <f aca="false">SUMIFS('Raw Data'!$K$2:$K$1000,'Raw Data'!$C$2:$C$1000,A31,'Raw Data'!$B$2:$B$1000,B31)</f>
        <v>9</v>
      </c>
      <c r="E31" s="11" t="n">
        <f aca="false">IF(C31=0,"no data",D31/C31)</f>
        <v>1</v>
      </c>
      <c r="F31" s="2"/>
      <c r="G31" s="2"/>
      <c r="H31" s="2"/>
      <c r="I31" s="2"/>
      <c r="J31" s="2"/>
      <c r="K31" s="2"/>
      <c r="L31" s="2"/>
      <c r="M31" s="2"/>
      <c r="N31" s="2"/>
      <c r="O31" s="2"/>
    </row>
    <row r="32" customFormat="false" ht="15" hidden="false" customHeight="false" outlineLevel="0" collapsed="false">
      <c r="A32" s="10" t="s">
        <v>22</v>
      </c>
      <c r="B32" s="10" t="s">
        <v>37</v>
      </c>
      <c r="C32" s="10" t="n">
        <f aca="false">COUNTIFS('Raw Data'!$C$2:$C$1000,A32,'Raw Data'!$B$2:$B$1000,B32,'Raw Data'!$K$2:$K$1000,"&lt;&gt;")</f>
        <v>10</v>
      </c>
      <c r="D32" s="10" t="n">
        <f aca="false">SUMIFS('Raw Data'!$K$2:$K$1000,'Raw Data'!$C$2:$C$1000,A32,'Raw Data'!$B$2:$B$1000,B32)</f>
        <v>7</v>
      </c>
      <c r="E32" s="11" t="n">
        <f aca="false">IF(C32=0,"no data",D32/C32)</f>
        <v>0.7</v>
      </c>
      <c r="F32" s="2"/>
      <c r="G32" s="2"/>
      <c r="H32" s="2"/>
      <c r="I32" s="2"/>
      <c r="J32" s="2"/>
      <c r="K32" s="2"/>
      <c r="L32" s="2"/>
      <c r="M32" s="2"/>
      <c r="N32" s="2"/>
      <c r="O32" s="2"/>
    </row>
  </sheetData>
  <conditionalFormatting sqref="O8:O10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6"/>
    <col collapsed="false" customWidth="true" hidden="false" outlineLevel="0" max="7" min="5" style="0" width="12"/>
    <col collapsed="false" customWidth="true" hidden="false" outlineLevel="0" max="9" min="8" style="0" width="13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58"/>
  </cols>
  <sheetData>
    <row r="1" customFormat="false" ht="26.85" hidden="false" customHeight="false" outlineLevel="0" collapsed="false">
      <c r="A1" s="22" t="s">
        <v>38</v>
      </c>
      <c r="B1" s="22" t="s">
        <v>33</v>
      </c>
      <c r="C1" s="22" t="s">
        <v>6</v>
      </c>
      <c r="D1" s="22" t="s">
        <v>39</v>
      </c>
      <c r="E1" s="22" t="s">
        <v>40</v>
      </c>
      <c r="F1" s="22" t="s">
        <v>41</v>
      </c>
      <c r="G1" s="22" t="s">
        <v>42</v>
      </c>
      <c r="H1" s="22" t="s">
        <v>43</v>
      </c>
      <c r="I1" s="22" t="s">
        <v>44</v>
      </c>
      <c r="J1" s="22" t="s">
        <v>45</v>
      </c>
      <c r="K1" s="22" t="s">
        <v>46</v>
      </c>
      <c r="L1" s="22" t="s">
        <v>47</v>
      </c>
    </row>
    <row r="2" customFormat="false" ht="15" hidden="false" customHeight="false" outlineLevel="0" collapsed="false">
      <c r="A2" s="9" t="s">
        <v>48</v>
      </c>
      <c r="B2" s="9" t="s">
        <v>35</v>
      </c>
      <c r="C2" s="9" t="s">
        <v>21</v>
      </c>
      <c r="D2" s="9" t="n">
        <v>1</v>
      </c>
      <c r="E2" s="23" t="n">
        <v>67.4</v>
      </c>
      <c r="F2" s="23" t="n">
        <v>178</v>
      </c>
      <c r="G2" s="9" t="s">
        <v>49</v>
      </c>
      <c r="H2" s="24" t="s">
        <v>49</v>
      </c>
      <c r="I2" s="9"/>
      <c r="J2" s="25" t="str">
        <f aca="false">IF(H2="","",IF(H2="Incorrect",IF(G2="Incorrect","TP","FN"),IF(G2="Incorrect","FP","TN")))</f>
        <v>TN</v>
      </c>
      <c r="K2" s="26" t="n">
        <f aca="false">IF(H2="","",IF(G2=H2,1,0))</f>
        <v>1</v>
      </c>
      <c r="L2" s="26"/>
    </row>
    <row r="3" customFormat="false" ht="15" hidden="false" customHeight="false" outlineLevel="0" collapsed="false">
      <c r="A3" s="9" t="s">
        <v>48</v>
      </c>
      <c r="B3" s="9" t="s">
        <v>35</v>
      </c>
      <c r="C3" s="9" t="s">
        <v>21</v>
      </c>
      <c r="D3" s="9" t="n">
        <v>2</v>
      </c>
      <c r="E3" s="23" t="n">
        <v>56</v>
      </c>
      <c r="F3" s="23" t="n">
        <v>166.6</v>
      </c>
      <c r="G3" s="9" t="s">
        <v>49</v>
      </c>
      <c r="H3" s="24" t="s">
        <v>49</v>
      </c>
      <c r="I3" s="9"/>
      <c r="J3" s="25" t="str">
        <f aca="false">IF(H3="","",IF(H3="Incorrect",IF(G3="Incorrect","TP","FN"),IF(G3="Incorrect","FP","TN")))</f>
        <v>TN</v>
      </c>
      <c r="K3" s="26" t="n">
        <f aca="false">IF(H3="","",IF(G3=H3,1,0))</f>
        <v>1</v>
      </c>
      <c r="L3" s="26"/>
    </row>
    <row r="4" customFormat="false" ht="15" hidden="false" customHeight="false" outlineLevel="0" collapsed="false">
      <c r="A4" s="9" t="s">
        <v>48</v>
      </c>
      <c r="B4" s="9" t="s">
        <v>35</v>
      </c>
      <c r="C4" s="9" t="s">
        <v>21</v>
      </c>
      <c r="D4" s="9" t="n">
        <v>3</v>
      </c>
      <c r="E4" s="23" t="n">
        <v>46</v>
      </c>
      <c r="F4" s="23" t="n">
        <v>162.6</v>
      </c>
      <c r="G4" s="9" t="s">
        <v>49</v>
      </c>
      <c r="H4" s="24" t="s">
        <v>49</v>
      </c>
      <c r="I4" s="9"/>
      <c r="J4" s="25" t="str">
        <f aca="false">IF(H4="","",IF(H4="Incorrect",IF(G4="Incorrect","TP","FN"),IF(G4="Incorrect","FP","TN")))</f>
        <v>TN</v>
      </c>
      <c r="K4" s="26" t="n">
        <f aca="false">IF(H4="","",IF(G4=H4,1,0))</f>
        <v>1</v>
      </c>
      <c r="L4" s="26"/>
    </row>
    <row r="5" customFormat="false" ht="15" hidden="false" customHeight="false" outlineLevel="0" collapsed="false">
      <c r="A5" s="9" t="s">
        <v>48</v>
      </c>
      <c r="B5" s="9" t="s">
        <v>35</v>
      </c>
      <c r="C5" s="9" t="s">
        <v>21</v>
      </c>
      <c r="D5" s="9" t="n">
        <v>4</v>
      </c>
      <c r="E5" s="23" t="n">
        <v>62.8</v>
      </c>
      <c r="F5" s="23" t="n">
        <v>165.1</v>
      </c>
      <c r="G5" s="9" t="s">
        <v>49</v>
      </c>
      <c r="H5" s="24" t="s">
        <v>49</v>
      </c>
      <c r="I5" s="9"/>
      <c r="J5" s="25" t="str">
        <f aca="false">IF(H5="","",IF(H5="Incorrect",IF(G5="Incorrect","TP","FN"),IF(G5="Incorrect","FP","TN")))</f>
        <v>TN</v>
      </c>
      <c r="K5" s="26" t="n">
        <f aca="false">IF(H5="","",IF(G5=H5,1,0))</f>
        <v>1</v>
      </c>
      <c r="L5" s="26"/>
    </row>
    <row r="6" customFormat="false" ht="15" hidden="false" customHeight="false" outlineLevel="0" collapsed="false">
      <c r="A6" s="9" t="s">
        <v>48</v>
      </c>
      <c r="B6" s="9" t="s">
        <v>35</v>
      </c>
      <c r="C6" s="9" t="s">
        <v>21</v>
      </c>
      <c r="D6" s="9" t="n">
        <v>5</v>
      </c>
      <c r="E6" s="23" t="n">
        <v>68.3</v>
      </c>
      <c r="F6" s="23" t="n">
        <v>163.9</v>
      </c>
      <c r="G6" s="9" t="s">
        <v>49</v>
      </c>
      <c r="H6" s="24" t="s">
        <v>49</v>
      </c>
      <c r="I6" s="9"/>
      <c r="J6" s="25" t="str">
        <f aca="false">IF(H6="","",IF(H6="Incorrect",IF(G6="Incorrect","TP","FN"),IF(G6="Incorrect","FP","TN")))</f>
        <v>TN</v>
      </c>
      <c r="K6" s="26" t="n">
        <f aca="false">IF(H6="","",IF(G6=H6,1,0))</f>
        <v>1</v>
      </c>
      <c r="L6" s="26"/>
    </row>
    <row r="7" customFormat="false" ht="15" hidden="false" customHeight="false" outlineLevel="0" collapsed="false">
      <c r="A7" s="9" t="s">
        <v>48</v>
      </c>
      <c r="B7" s="9" t="s">
        <v>35</v>
      </c>
      <c r="C7" s="9" t="s">
        <v>21</v>
      </c>
      <c r="D7" s="9" t="n">
        <v>6</v>
      </c>
      <c r="E7" s="23" t="n">
        <v>102.1</v>
      </c>
      <c r="F7" s="23" t="n">
        <v>147.4</v>
      </c>
      <c r="G7" s="9" t="s">
        <v>50</v>
      </c>
      <c r="H7" s="24" t="s">
        <v>50</v>
      </c>
      <c r="I7" s="9" t="s">
        <v>51</v>
      </c>
      <c r="J7" s="25" t="str">
        <f aca="false">IF(H7="","",IF(H7="Incorrect",IF(G7="Incorrect","TP","FN"),IF(G7="Incorrect","FP","TN")))</f>
        <v>TP</v>
      </c>
      <c r="K7" s="26" t="n">
        <f aca="false">IF(H7="","",IF(G7=H7,1,0))</f>
        <v>1</v>
      </c>
      <c r="L7" s="26"/>
    </row>
    <row r="8" customFormat="false" ht="15" hidden="false" customHeight="false" outlineLevel="0" collapsed="false">
      <c r="A8" s="9" t="s">
        <v>48</v>
      </c>
      <c r="B8" s="9" t="s">
        <v>35</v>
      </c>
      <c r="C8" s="9" t="s">
        <v>21</v>
      </c>
      <c r="D8" s="9" t="n">
        <v>7</v>
      </c>
      <c r="E8" s="23" t="n">
        <v>37.2</v>
      </c>
      <c r="F8" s="23" t="n">
        <v>131.1</v>
      </c>
      <c r="G8" s="9" t="s">
        <v>50</v>
      </c>
      <c r="H8" s="24" t="s">
        <v>50</v>
      </c>
      <c r="I8" s="9" t="s">
        <v>51</v>
      </c>
      <c r="J8" s="25" t="str">
        <f aca="false">IF(H8="","",IF(H8="Incorrect",IF(G8="Incorrect","TP","FN"),IF(G8="Incorrect","FP","TN")))</f>
        <v>TP</v>
      </c>
      <c r="K8" s="26" t="n">
        <f aca="false">IF(H8="","",IF(G8=H8,1,0))</f>
        <v>1</v>
      </c>
      <c r="L8" s="26"/>
    </row>
    <row r="9" customFormat="false" ht="15" hidden="false" customHeight="false" outlineLevel="0" collapsed="false">
      <c r="A9" s="9" t="s">
        <v>48</v>
      </c>
      <c r="B9" s="9" t="s">
        <v>35</v>
      </c>
      <c r="C9" s="9" t="s">
        <v>21</v>
      </c>
      <c r="D9" s="9" t="n">
        <v>8</v>
      </c>
      <c r="E9" s="23" t="n">
        <v>62.1</v>
      </c>
      <c r="F9" s="23" t="n">
        <v>164.7</v>
      </c>
      <c r="G9" s="9" t="s">
        <v>49</v>
      </c>
      <c r="H9" s="24" t="s">
        <v>50</v>
      </c>
      <c r="I9" s="9" t="s">
        <v>51</v>
      </c>
      <c r="J9" s="25" t="str">
        <f aca="false">IF(H9="","",IF(H9="Incorrect",IF(G9="Incorrect","TP","FN"),IF(G9="Incorrect","FP","TN")))</f>
        <v>FN</v>
      </c>
      <c r="K9" s="26" t="n">
        <f aca="false">IF(H9="","",IF(G9=H9,1,0))</f>
        <v>0</v>
      </c>
      <c r="L9" s="26"/>
    </row>
    <row r="10" customFormat="false" ht="15" hidden="false" customHeight="false" outlineLevel="0" collapsed="false">
      <c r="A10" s="9" t="s">
        <v>48</v>
      </c>
      <c r="B10" s="9" t="s">
        <v>35</v>
      </c>
      <c r="C10" s="9" t="s">
        <v>21</v>
      </c>
      <c r="D10" s="9" t="n">
        <v>9</v>
      </c>
      <c r="E10" s="23" t="n">
        <v>97.3</v>
      </c>
      <c r="F10" s="23" t="n">
        <v>136.5</v>
      </c>
      <c r="G10" s="9" t="s">
        <v>50</v>
      </c>
      <c r="H10" s="24" t="s">
        <v>50</v>
      </c>
      <c r="I10" s="9" t="s">
        <v>51</v>
      </c>
      <c r="J10" s="25" t="str">
        <f aca="false">IF(H10="","",IF(H10="Incorrect",IF(G10="Incorrect","TP","FN"),IF(G10="Incorrect","FP","TN")))</f>
        <v>TP</v>
      </c>
      <c r="K10" s="26" t="n">
        <f aca="false">IF(H10="","",IF(G10=H10,1,0))</f>
        <v>1</v>
      </c>
      <c r="L10" s="26"/>
    </row>
    <row r="11" customFormat="false" ht="15" hidden="false" customHeight="false" outlineLevel="0" collapsed="false">
      <c r="A11" s="9" t="s">
        <v>48</v>
      </c>
      <c r="B11" s="9" t="s">
        <v>35</v>
      </c>
      <c r="C11" s="9" t="s">
        <v>21</v>
      </c>
      <c r="D11" s="9" t="n">
        <v>10</v>
      </c>
      <c r="E11" s="23" t="n">
        <v>85.6</v>
      </c>
      <c r="F11" s="23" t="n">
        <v>147.5</v>
      </c>
      <c r="G11" s="9" t="s">
        <v>50</v>
      </c>
      <c r="H11" s="24" t="s">
        <v>50</v>
      </c>
      <c r="I11" s="9" t="s">
        <v>51</v>
      </c>
      <c r="J11" s="25" t="str">
        <f aca="false">IF(H11="","",IF(H11="Incorrect",IF(G11="Incorrect","TP","FN"),IF(G11="Incorrect","FP","TN")))</f>
        <v>TP</v>
      </c>
      <c r="K11" s="26" t="n">
        <f aca="false">IF(H11="","",IF(G11=H11,1,0))</f>
        <v>1</v>
      </c>
      <c r="L11" s="26"/>
    </row>
    <row r="12" customFormat="false" ht="15" hidden="false" customHeight="false" outlineLevel="0" collapsed="false">
      <c r="A12" s="9" t="s">
        <v>48</v>
      </c>
      <c r="B12" s="9" t="s">
        <v>37</v>
      </c>
      <c r="C12" s="9" t="s">
        <v>21</v>
      </c>
      <c r="D12" s="9" t="n">
        <v>1</v>
      </c>
      <c r="E12" s="23" t="n">
        <v>82.2</v>
      </c>
      <c r="F12" s="23" t="n">
        <v>168.2</v>
      </c>
      <c r="G12" s="9" t="s">
        <v>49</v>
      </c>
      <c r="H12" s="24" t="s">
        <v>49</v>
      </c>
      <c r="I12" s="9"/>
      <c r="J12" s="25" t="str">
        <f aca="false">IF(H12="","",IF(H12="Incorrect",IF(G12="Incorrect","TP","FN"),IF(G12="Incorrect","FP","TN")))</f>
        <v>TN</v>
      </c>
      <c r="K12" s="26" t="n">
        <f aca="false">IF(H12="","",IF(G12=H12,1,0))</f>
        <v>1</v>
      </c>
      <c r="L12" s="27" t="s">
        <v>52</v>
      </c>
    </row>
    <row r="13" customFormat="false" ht="15" hidden="false" customHeight="false" outlineLevel="0" collapsed="false">
      <c r="A13" s="9" t="s">
        <v>48</v>
      </c>
      <c r="B13" s="9" t="s">
        <v>37</v>
      </c>
      <c r="C13" s="9" t="s">
        <v>21</v>
      </c>
      <c r="D13" s="9" t="n">
        <v>2</v>
      </c>
      <c r="E13" s="23" t="n">
        <v>83</v>
      </c>
      <c r="F13" s="23" t="n">
        <v>158.9</v>
      </c>
      <c r="G13" s="9" t="s">
        <v>50</v>
      </c>
      <c r="H13" s="24" t="s">
        <v>49</v>
      </c>
      <c r="I13" s="9"/>
      <c r="J13" s="25" t="str">
        <f aca="false">IF(H13="","",IF(H13="Incorrect",IF(G13="Incorrect","TP","FN"),IF(G13="Incorrect","FP","TN")))</f>
        <v>FP</v>
      </c>
      <c r="K13" s="26" t="n">
        <f aca="false">IF(H13="","",IF(G13=H13,1,0))</f>
        <v>0</v>
      </c>
      <c r="L13" s="27" t="s">
        <v>52</v>
      </c>
    </row>
    <row r="14" customFormat="false" ht="15" hidden="false" customHeight="false" outlineLevel="0" collapsed="false">
      <c r="A14" s="9" t="s">
        <v>48</v>
      </c>
      <c r="B14" s="9" t="s">
        <v>37</v>
      </c>
      <c r="C14" s="9" t="s">
        <v>21</v>
      </c>
      <c r="D14" s="9" t="n">
        <v>3</v>
      </c>
      <c r="E14" s="23" t="n">
        <v>96.1</v>
      </c>
      <c r="F14" s="23" t="n">
        <v>165.1</v>
      </c>
      <c r="G14" s="9" t="s">
        <v>49</v>
      </c>
      <c r="H14" s="24" t="s">
        <v>49</v>
      </c>
      <c r="I14" s="9"/>
      <c r="J14" s="25" t="str">
        <f aca="false">IF(H14="","",IF(H14="Incorrect",IF(G14="Incorrect","TP","FN"),IF(G14="Incorrect","FP","TN")))</f>
        <v>TN</v>
      </c>
      <c r="K14" s="26" t="n">
        <f aca="false">IF(H14="","",IF(G14=H14,1,0))</f>
        <v>1</v>
      </c>
      <c r="L14" s="27" t="s">
        <v>52</v>
      </c>
    </row>
    <row r="15" customFormat="false" ht="15" hidden="false" customHeight="false" outlineLevel="0" collapsed="false">
      <c r="A15" s="9" t="s">
        <v>48</v>
      </c>
      <c r="B15" s="9" t="s">
        <v>37</v>
      </c>
      <c r="C15" s="9" t="s">
        <v>21</v>
      </c>
      <c r="D15" s="9" t="n">
        <v>4</v>
      </c>
      <c r="E15" s="23" t="n">
        <v>90.7</v>
      </c>
      <c r="F15" s="23" t="n">
        <v>162.9</v>
      </c>
      <c r="G15" s="9" t="s">
        <v>49</v>
      </c>
      <c r="H15" s="24" t="s">
        <v>49</v>
      </c>
      <c r="I15" s="9"/>
      <c r="J15" s="25" t="str">
        <f aca="false">IF(H15="","",IF(H15="Incorrect",IF(G15="Incorrect","TP","FN"),IF(G15="Incorrect","FP","TN")))</f>
        <v>TN</v>
      </c>
      <c r="K15" s="26" t="n">
        <f aca="false">IF(H15="","",IF(G15=H15,1,0))</f>
        <v>1</v>
      </c>
      <c r="L15" s="27" t="s">
        <v>52</v>
      </c>
    </row>
    <row r="16" customFormat="false" ht="15" hidden="false" customHeight="false" outlineLevel="0" collapsed="false">
      <c r="A16" s="9" t="s">
        <v>48</v>
      </c>
      <c r="B16" s="9" t="s">
        <v>37</v>
      </c>
      <c r="C16" s="9" t="s">
        <v>21</v>
      </c>
      <c r="D16" s="9" t="n">
        <v>5</v>
      </c>
      <c r="E16" s="23" t="n">
        <v>87.6</v>
      </c>
      <c r="F16" s="23" t="n">
        <v>160.9</v>
      </c>
      <c r="G16" s="9" t="s">
        <v>49</v>
      </c>
      <c r="H16" s="24" t="s">
        <v>49</v>
      </c>
      <c r="I16" s="9"/>
      <c r="J16" s="25" t="str">
        <f aca="false">IF(H16="","",IF(H16="Incorrect",IF(G16="Incorrect","TP","FN"),IF(G16="Incorrect","FP","TN")))</f>
        <v>TN</v>
      </c>
      <c r="K16" s="26" t="n">
        <f aca="false">IF(H16="","",IF(G16=H16,1,0))</f>
        <v>1</v>
      </c>
      <c r="L16" s="27" t="s">
        <v>52</v>
      </c>
    </row>
    <row r="17" customFormat="false" ht="15" hidden="false" customHeight="false" outlineLevel="0" collapsed="false">
      <c r="A17" s="9" t="s">
        <v>48</v>
      </c>
      <c r="B17" s="9" t="s">
        <v>37</v>
      </c>
      <c r="C17" s="9" t="s">
        <v>21</v>
      </c>
      <c r="D17" s="9" t="n">
        <v>6</v>
      </c>
      <c r="E17" s="23" t="n">
        <v>91.2</v>
      </c>
      <c r="F17" s="23" t="n">
        <v>155.8</v>
      </c>
      <c r="G17" s="9" t="s">
        <v>50</v>
      </c>
      <c r="H17" s="24" t="s">
        <v>50</v>
      </c>
      <c r="I17" s="9" t="s">
        <v>51</v>
      </c>
      <c r="J17" s="25" t="str">
        <f aca="false">IF(H17="","",IF(H17="Incorrect",IF(G17="Incorrect","TP","FN"),IF(G17="Incorrect","FP","TN")))</f>
        <v>TP</v>
      </c>
      <c r="K17" s="26" t="n">
        <f aca="false">IF(H17="","",IF(G17=H17,1,0))</f>
        <v>1</v>
      </c>
      <c r="L17" s="27" t="s">
        <v>52</v>
      </c>
    </row>
    <row r="18" customFormat="false" ht="15" hidden="false" customHeight="false" outlineLevel="0" collapsed="false">
      <c r="A18" s="9" t="s">
        <v>48</v>
      </c>
      <c r="B18" s="9" t="s">
        <v>37</v>
      </c>
      <c r="C18" s="9" t="s">
        <v>21</v>
      </c>
      <c r="D18" s="9" t="n">
        <v>7</v>
      </c>
      <c r="E18" s="23" t="n">
        <v>87.6</v>
      </c>
      <c r="F18" s="23" t="n">
        <v>158.2</v>
      </c>
      <c r="G18" s="9" t="s">
        <v>50</v>
      </c>
      <c r="H18" s="24" t="s">
        <v>50</v>
      </c>
      <c r="I18" s="9" t="s">
        <v>51</v>
      </c>
      <c r="J18" s="25" t="str">
        <f aca="false">IF(H18="","",IF(H18="Incorrect",IF(G18="Incorrect","TP","FN"),IF(G18="Incorrect","FP","TN")))</f>
        <v>TP</v>
      </c>
      <c r="K18" s="26" t="n">
        <f aca="false">IF(H18="","",IF(G18=H18,1,0))</f>
        <v>1</v>
      </c>
      <c r="L18" s="27" t="s">
        <v>52</v>
      </c>
    </row>
    <row r="19" customFormat="false" ht="15" hidden="false" customHeight="false" outlineLevel="0" collapsed="false">
      <c r="A19" s="9" t="s">
        <v>48</v>
      </c>
      <c r="B19" s="9" t="s">
        <v>37</v>
      </c>
      <c r="C19" s="9" t="s">
        <v>21</v>
      </c>
      <c r="D19" s="9" t="n">
        <v>8</v>
      </c>
      <c r="E19" s="23" t="n">
        <v>94.6</v>
      </c>
      <c r="F19" s="23" t="n">
        <v>170.7</v>
      </c>
      <c r="G19" s="9" t="s">
        <v>49</v>
      </c>
      <c r="H19" s="24" t="s">
        <v>50</v>
      </c>
      <c r="I19" s="9" t="s">
        <v>51</v>
      </c>
      <c r="J19" s="25" t="str">
        <f aca="false">IF(H19="","",IF(H19="Incorrect",IF(G19="Incorrect","TP","FN"),IF(G19="Incorrect","FP","TN")))</f>
        <v>FN</v>
      </c>
      <c r="K19" s="26" t="n">
        <f aca="false">IF(H19="","",IF(G19=H19,1,0))</f>
        <v>0</v>
      </c>
      <c r="L19" s="27" t="s">
        <v>52</v>
      </c>
    </row>
    <row r="20" customFormat="false" ht="15" hidden="false" customHeight="false" outlineLevel="0" collapsed="false">
      <c r="A20" s="9" t="s">
        <v>48</v>
      </c>
      <c r="B20" s="9" t="s">
        <v>37</v>
      </c>
      <c r="C20" s="9" t="s">
        <v>21</v>
      </c>
      <c r="D20" s="9" t="n">
        <v>9</v>
      </c>
      <c r="E20" s="23" t="n">
        <v>85.7</v>
      </c>
      <c r="F20" s="23" t="n">
        <v>169.4</v>
      </c>
      <c r="G20" s="9" t="s">
        <v>49</v>
      </c>
      <c r="H20" s="24" t="s">
        <v>50</v>
      </c>
      <c r="I20" s="9" t="s">
        <v>51</v>
      </c>
      <c r="J20" s="25" t="str">
        <f aca="false">IF(H20="","",IF(H20="Incorrect",IF(G20="Incorrect","TP","FN"),IF(G20="Incorrect","FP","TN")))</f>
        <v>FN</v>
      </c>
      <c r="K20" s="26" t="n">
        <f aca="false">IF(H20="","",IF(G20=H20,1,0))</f>
        <v>0</v>
      </c>
      <c r="L20" s="27" t="s">
        <v>52</v>
      </c>
    </row>
    <row r="21" customFormat="false" ht="15" hidden="false" customHeight="false" outlineLevel="0" collapsed="false">
      <c r="A21" s="9" t="s">
        <v>48</v>
      </c>
      <c r="B21" s="9" t="s">
        <v>37</v>
      </c>
      <c r="C21" s="9" t="s">
        <v>21</v>
      </c>
      <c r="D21" s="9" t="n">
        <v>10</v>
      </c>
      <c r="E21" s="23" t="n">
        <v>83.6</v>
      </c>
      <c r="F21" s="23" t="n">
        <v>167.9</v>
      </c>
      <c r="G21" s="9" t="s">
        <v>49</v>
      </c>
      <c r="H21" s="24" t="s">
        <v>50</v>
      </c>
      <c r="I21" s="9" t="s">
        <v>51</v>
      </c>
      <c r="J21" s="25" t="str">
        <f aca="false">IF(H21="","",IF(H21="Incorrect",IF(G21="Incorrect","TP","FN"),IF(G21="Incorrect","FP","TN")))</f>
        <v>FN</v>
      </c>
      <c r="K21" s="26" t="n">
        <f aca="false">IF(H21="","",IF(G21=H21,1,0))</f>
        <v>0</v>
      </c>
      <c r="L21" s="27" t="s">
        <v>52</v>
      </c>
    </row>
    <row r="22" customFormat="false" ht="15" hidden="false" customHeight="false" outlineLevel="0" collapsed="false">
      <c r="A22" s="9" t="s">
        <v>48</v>
      </c>
      <c r="B22" s="9" t="s">
        <v>35</v>
      </c>
      <c r="C22" s="9" t="s">
        <v>22</v>
      </c>
      <c r="D22" s="9" t="n">
        <v>3</v>
      </c>
      <c r="E22" s="23" t="n">
        <v>33.2</v>
      </c>
      <c r="F22" s="23"/>
      <c r="G22" s="9" t="s">
        <v>50</v>
      </c>
      <c r="H22" s="24" t="s">
        <v>49</v>
      </c>
      <c r="I22" s="9"/>
      <c r="J22" s="25" t="str">
        <f aca="false">IF(H22="","",IF(H22="Incorrect",IF(G22="Incorrect","TP","FN"),IF(G22="Incorrect","FP","TN")))</f>
        <v>FP</v>
      </c>
      <c r="K22" s="26" t="n">
        <f aca="false">IF(H22="","",IF(G22=H22,1,0))</f>
        <v>0</v>
      </c>
      <c r="L22" s="27" t="s">
        <v>53</v>
      </c>
    </row>
    <row r="23" customFormat="false" ht="15" hidden="false" customHeight="false" outlineLevel="0" collapsed="false">
      <c r="A23" s="9" t="s">
        <v>48</v>
      </c>
      <c r="B23" s="9" t="s">
        <v>35</v>
      </c>
      <c r="C23" s="9" t="s">
        <v>22</v>
      </c>
      <c r="D23" s="9" t="n">
        <v>4</v>
      </c>
      <c r="E23" s="23" t="n">
        <v>85.4</v>
      </c>
      <c r="F23" s="23"/>
      <c r="G23" s="9" t="s">
        <v>49</v>
      </c>
      <c r="H23" s="24" t="s">
        <v>49</v>
      </c>
      <c r="I23" s="9"/>
      <c r="J23" s="25" t="str">
        <f aca="false">IF(H23="","",IF(H23="Incorrect",IF(G23="Incorrect","TP","FN"),IF(G23="Incorrect","FP","TN")))</f>
        <v>TN</v>
      </c>
      <c r="K23" s="26" t="n">
        <f aca="false">IF(H23="","",IF(G23=H23,1,0))</f>
        <v>1</v>
      </c>
      <c r="L23" s="26"/>
    </row>
    <row r="24" customFormat="false" ht="15" hidden="false" customHeight="false" outlineLevel="0" collapsed="false">
      <c r="A24" s="9" t="s">
        <v>48</v>
      </c>
      <c r="B24" s="9" t="s">
        <v>35</v>
      </c>
      <c r="C24" s="9" t="s">
        <v>22</v>
      </c>
      <c r="D24" s="9" t="n">
        <v>5</v>
      </c>
      <c r="E24" s="23" t="n">
        <v>82.8</v>
      </c>
      <c r="F24" s="23"/>
      <c r="G24" s="9" t="s">
        <v>49</v>
      </c>
      <c r="H24" s="24" t="s">
        <v>49</v>
      </c>
      <c r="I24" s="9"/>
      <c r="J24" s="25" t="str">
        <f aca="false">IF(H24="","",IF(H24="Incorrect",IF(G24="Incorrect","TP","FN"),IF(G24="Incorrect","FP","TN")))</f>
        <v>TN</v>
      </c>
      <c r="K24" s="26" t="n">
        <f aca="false">IF(H24="","",IF(G24=H24,1,0))</f>
        <v>1</v>
      </c>
      <c r="L24" s="26"/>
    </row>
    <row r="25" customFormat="false" ht="15" hidden="false" customHeight="false" outlineLevel="0" collapsed="false">
      <c r="A25" s="9" t="s">
        <v>48</v>
      </c>
      <c r="B25" s="9" t="s">
        <v>35</v>
      </c>
      <c r="C25" s="9" t="s">
        <v>22</v>
      </c>
      <c r="D25" s="9" t="n">
        <v>6</v>
      </c>
      <c r="E25" s="23" t="n">
        <v>88.6</v>
      </c>
      <c r="F25" s="23"/>
      <c r="G25" s="9" t="s">
        <v>49</v>
      </c>
      <c r="H25" s="24" t="s">
        <v>49</v>
      </c>
      <c r="I25" s="9"/>
      <c r="J25" s="25" t="str">
        <f aca="false">IF(H25="","",IF(H25="Incorrect",IF(G25="Incorrect","TP","FN"),IF(G25="Incorrect","FP","TN")))</f>
        <v>TN</v>
      </c>
      <c r="K25" s="26" t="n">
        <f aca="false">IF(H25="","",IF(G25=H25,1,0))</f>
        <v>1</v>
      </c>
      <c r="L25" s="26"/>
    </row>
    <row r="26" customFormat="false" ht="15" hidden="false" customHeight="false" outlineLevel="0" collapsed="false">
      <c r="A26" s="9" t="s">
        <v>48</v>
      </c>
      <c r="B26" s="9" t="s">
        <v>35</v>
      </c>
      <c r="C26" s="9" t="s">
        <v>22</v>
      </c>
      <c r="D26" s="9" t="n">
        <v>7</v>
      </c>
      <c r="E26" s="23" t="n">
        <v>44.3</v>
      </c>
      <c r="F26" s="23"/>
      <c r="G26" s="9" t="s">
        <v>50</v>
      </c>
      <c r="H26" s="24" t="s">
        <v>50</v>
      </c>
      <c r="I26" s="9" t="s">
        <v>54</v>
      </c>
      <c r="J26" s="25" t="str">
        <f aca="false">IF(H26="","",IF(H26="Incorrect",IF(G26="Incorrect","TP","FN"),IF(G26="Incorrect","FP","TN")))</f>
        <v>TP</v>
      </c>
      <c r="K26" s="26" t="n">
        <f aca="false">IF(H26="","",IF(G26=H26,1,0))</f>
        <v>1</v>
      </c>
      <c r="L26" s="26"/>
    </row>
    <row r="27" customFormat="false" ht="15" hidden="false" customHeight="false" outlineLevel="0" collapsed="false">
      <c r="A27" s="9" t="s">
        <v>48</v>
      </c>
      <c r="B27" s="9" t="s">
        <v>35</v>
      </c>
      <c r="C27" s="9" t="s">
        <v>22</v>
      </c>
      <c r="D27" s="9" t="n">
        <v>8</v>
      </c>
      <c r="E27" s="23" t="n">
        <v>44.6</v>
      </c>
      <c r="F27" s="23"/>
      <c r="G27" s="9" t="s">
        <v>50</v>
      </c>
      <c r="H27" s="24" t="s">
        <v>50</v>
      </c>
      <c r="I27" s="9" t="s">
        <v>54</v>
      </c>
      <c r="J27" s="25" t="str">
        <f aca="false">IF(H27="","",IF(H27="Incorrect",IF(G27="Incorrect","TP","FN"),IF(G27="Incorrect","FP","TN")))</f>
        <v>TP</v>
      </c>
      <c r="K27" s="26" t="n">
        <f aca="false">IF(H27="","",IF(G27=H27,1,0))</f>
        <v>1</v>
      </c>
      <c r="L27" s="26"/>
    </row>
    <row r="28" customFormat="false" ht="15" hidden="false" customHeight="false" outlineLevel="0" collapsed="false">
      <c r="A28" s="9" t="s">
        <v>48</v>
      </c>
      <c r="B28" s="9" t="s">
        <v>35</v>
      </c>
      <c r="C28" s="9" t="s">
        <v>22</v>
      </c>
      <c r="D28" s="9" t="n">
        <v>9</v>
      </c>
      <c r="E28" s="23" t="n">
        <v>50.5</v>
      </c>
      <c r="F28" s="23"/>
      <c r="G28" s="9" t="s">
        <v>50</v>
      </c>
      <c r="H28" s="24" t="s">
        <v>50</v>
      </c>
      <c r="I28" s="9" t="s">
        <v>54</v>
      </c>
      <c r="J28" s="25" t="str">
        <f aca="false">IF(H28="","",IF(H28="Incorrect",IF(G28="Incorrect","TP","FN"),IF(G28="Incorrect","FP","TN")))</f>
        <v>TP</v>
      </c>
      <c r="K28" s="26" t="n">
        <f aca="false">IF(H28="","",IF(G28=H28,1,0))</f>
        <v>1</v>
      </c>
      <c r="L28" s="27" t="s">
        <v>55</v>
      </c>
    </row>
    <row r="29" customFormat="false" ht="15" hidden="false" customHeight="false" outlineLevel="0" collapsed="false">
      <c r="A29" s="9" t="s">
        <v>48</v>
      </c>
      <c r="B29" s="9" t="s">
        <v>35</v>
      </c>
      <c r="C29" s="9" t="s">
        <v>22</v>
      </c>
      <c r="D29" s="9" t="n">
        <v>10</v>
      </c>
      <c r="E29" s="23" t="n">
        <v>52.7</v>
      </c>
      <c r="F29" s="23"/>
      <c r="G29" s="9" t="s">
        <v>50</v>
      </c>
      <c r="H29" s="24" t="s">
        <v>50</v>
      </c>
      <c r="I29" s="9" t="s">
        <v>54</v>
      </c>
      <c r="J29" s="25" t="str">
        <f aca="false">IF(H29="","",IF(H29="Incorrect",IF(G29="Incorrect","TP","FN"),IF(G29="Incorrect","FP","TN")))</f>
        <v>TP</v>
      </c>
      <c r="K29" s="26" t="n">
        <f aca="false">IF(H29="","",IF(G29=H29,1,0))</f>
        <v>1</v>
      </c>
      <c r="L29" s="26"/>
    </row>
    <row r="30" customFormat="false" ht="15" hidden="false" customHeight="false" outlineLevel="0" collapsed="false">
      <c r="A30" s="9" t="s">
        <v>48</v>
      </c>
      <c r="B30" s="9" t="s">
        <v>36</v>
      </c>
      <c r="C30" s="9" t="s">
        <v>22</v>
      </c>
      <c r="D30" s="9" t="n">
        <v>2</v>
      </c>
      <c r="E30" s="23" t="n">
        <v>86.9</v>
      </c>
      <c r="F30" s="23"/>
      <c r="G30" s="9" t="s">
        <v>49</v>
      </c>
      <c r="H30" s="24" t="s">
        <v>49</v>
      </c>
      <c r="I30" s="9"/>
      <c r="J30" s="25" t="str">
        <f aca="false">IF(H30="","",IF(H30="Incorrect",IF(G30="Incorrect","TP","FN"),IF(G30="Incorrect","FP","TN")))</f>
        <v>TN</v>
      </c>
      <c r="K30" s="26" t="n">
        <f aca="false">IF(H30="","",IF(G30=H30,1,0))</f>
        <v>1</v>
      </c>
      <c r="L30" s="26"/>
    </row>
    <row r="31" customFormat="false" ht="15" hidden="false" customHeight="false" outlineLevel="0" collapsed="false">
      <c r="A31" s="9" t="s">
        <v>48</v>
      </c>
      <c r="B31" s="9" t="s">
        <v>36</v>
      </c>
      <c r="C31" s="9" t="s">
        <v>22</v>
      </c>
      <c r="D31" s="9" t="n">
        <v>3</v>
      </c>
      <c r="E31" s="23" t="n">
        <v>85.6</v>
      </c>
      <c r="F31" s="23"/>
      <c r="G31" s="9" t="s">
        <v>49</v>
      </c>
      <c r="H31" s="24" t="s">
        <v>49</v>
      </c>
      <c r="I31" s="9"/>
      <c r="J31" s="25" t="str">
        <f aca="false">IF(H31="","",IF(H31="Incorrect",IF(G31="Incorrect","TP","FN"),IF(G31="Incorrect","FP","TN")))</f>
        <v>TN</v>
      </c>
      <c r="K31" s="26" t="n">
        <f aca="false">IF(H31="","",IF(G31=H31,1,0))</f>
        <v>1</v>
      </c>
      <c r="L31" s="26"/>
    </row>
    <row r="32" customFormat="false" ht="15" hidden="false" customHeight="false" outlineLevel="0" collapsed="false">
      <c r="A32" s="9" t="s">
        <v>48</v>
      </c>
      <c r="B32" s="9" t="s">
        <v>36</v>
      </c>
      <c r="C32" s="9" t="s">
        <v>22</v>
      </c>
      <c r="D32" s="9" t="n">
        <v>4</v>
      </c>
      <c r="E32" s="23" t="n">
        <v>83</v>
      </c>
      <c r="F32" s="23"/>
      <c r="G32" s="9" t="s">
        <v>49</v>
      </c>
      <c r="H32" s="24" t="s">
        <v>49</v>
      </c>
      <c r="I32" s="9"/>
      <c r="J32" s="25" t="str">
        <f aca="false">IF(H32="","",IF(H32="Incorrect",IF(G32="Incorrect","TP","FN"),IF(G32="Incorrect","FP","TN")))</f>
        <v>TN</v>
      </c>
      <c r="K32" s="26" t="n">
        <f aca="false">IF(H32="","",IF(G32=H32,1,0))</f>
        <v>1</v>
      </c>
      <c r="L32" s="26"/>
    </row>
    <row r="33" customFormat="false" ht="15" hidden="false" customHeight="false" outlineLevel="0" collapsed="false">
      <c r="A33" s="9" t="s">
        <v>48</v>
      </c>
      <c r="B33" s="9" t="s">
        <v>36</v>
      </c>
      <c r="C33" s="9" t="s">
        <v>22</v>
      </c>
      <c r="D33" s="9" t="n">
        <v>5</v>
      </c>
      <c r="E33" s="23" t="n">
        <v>80.4</v>
      </c>
      <c r="F33" s="23"/>
      <c r="G33" s="9" t="s">
        <v>49</v>
      </c>
      <c r="H33" s="24" t="s">
        <v>49</v>
      </c>
      <c r="I33" s="9"/>
      <c r="J33" s="25" t="str">
        <f aca="false">IF(H33="","",IF(H33="Incorrect",IF(G33="Incorrect","TP","FN"),IF(G33="Incorrect","FP","TN")))</f>
        <v>TN</v>
      </c>
      <c r="K33" s="26" t="n">
        <f aca="false">IF(H33="","",IF(G33=H33,1,0))</f>
        <v>1</v>
      </c>
      <c r="L33" s="26"/>
    </row>
    <row r="34" customFormat="false" ht="15" hidden="false" customHeight="false" outlineLevel="0" collapsed="false">
      <c r="A34" s="9" t="s">
        <v>48</v>
      </c>
      <c r="B34" s="9" t="s">
        <v>36</v>
      </c>
      <c r="C34" s="9" t="s">
        <v>22</v>
      </c>
      <c r="D34" s="9" t="n">
        <v>6</v>
      </c>
      <c r="E34" s="23" t="n">
        <v>89.8</v>
      </c>
      <c r="F34" s="23"/>
      <c r="G34" s="9" t="s">
        <v>49</v>
      </c>
      <c r="H34" s="24" t="s">
        <v>49</v>
      </c>
      <c r="I34" s="9"/>
      <c r="J34" s="25" t="str">
        <f aca="false">IF(H34="","",IF(H34="Incorrect",IF(G34="Incorrect","TP","FN"),IF(G34="Incorrect","FP","TN")))</f>
        <v>TN</v>
      </c>
      <c r="K34" s="26" t="n">
        <f aca="false">IF(H34="","",IF(G34=H34,1,0))</f>
        <v>1</v>
      </c>
      <c r="L34" s="26"/>
    </row>
    <row r="35" customFormat="false" ht="15" hidden="false" customHeight="false" outlineLevel="0" collapsed="false">
      <c r="A35" s="9" t="s">
        <v>48</v>
      </c>
      <c r="B35" s="9" t="s">
        <v>36</v>
      </c>
      <c r="C35" s="9" t="s">
        <v>22</v>
      </c>
      <c r="D35" s="9" t="n">
        <v>7</v>
      </c>
      <c r="E35" s="23" t="n">
        <v>38.8</v>
      </c>
      <c r="F35" s="23"/>
      <c r="G35" s="9" t="s">
        <v>50</v>
      </c>
      <c r="H35" s="24" t="s">
        <v>50</v>
      </c>
      <c r="I35" s="9" t="s">
        <v>54</v>
      </c>
      <c r="J35" s="25" t="str">
        <f aca="false">IF(H35="","",IF(H35="Incorrect",IF(G35="Incorrect","TP","FN"),IF(G35="Incorrect","FP","TN")))</f>
        <v>TP</v>
      </c>
      <c r="K35" s="26" t="n">
        <f aca="false">IF(H35="","",IF(G35=H35,1,0))</f>
        <v>1</v>
      </c>
      <c r="L35" s="26"/>
    </row>
    <row r="36" customFormat="false" ht="15" hidden="false" customHeight="false" outlineLevel="0" collapsed="false">
      <c r="A36" s="9" t="s">
        <v>48</v>
      </c>
      <c r="B36" s="9" t="s">
        <v>36</v>
      </c>
      <c r="C36" s="9" t="s">
        <v>22</v>
      </c>
      <c r="D36" s="9" t="n">
        <v>8</v>
      </c>
      <c r="E36" s="23" t="n">
        <v>40.1</v>
      </c>
      <c r="F36" s="23"/>
      <c r="G36" s="9" t="s">
        <v>50</v>
      </c>
      <c r="H36" s="24" t="s">
        <v>50</v>
      </c>
      <c r="I36" s="9" t="s">
        <v>54</v>
      </c>
      <c r="J36" s="25" t="str">
        <f aca="false">IF(H36="","",IF(H36="Incorrect",IF(G36="Incorrect","TP","FN"),IF(G36="Incorrect","FP","TN")))</f>
        <v>TP</v>
      </c>
      <c r="K36" s="26" t="n">
        <f aca="false">IF(H36="","",IF(G36=H36,1,0))</f>
        <v>1</v>
      </c>
      <c r="L36" s="26"/>
    </row>
    <row r="37" customFormat="false" ht="15" hidden="false" customHeight="false" outlineLevel="0" collapsed="false">
      <c r="A37" s="9" t="s">
        <v>48</v>
      </c>
      <c r="B37" s="9" t="s">
        <v>36</v>
      </c>
      <c r="C37" s="9" t="s">
        <v>22</v>
      </c>
      <c r="D37" s="9" t="n">
        <v>9</v>
      </c>
      <c r="E37" s="23" t="n">
        <v>45.5</v>
      </c>
      <c r="F37" s="23"/>
      <c r="G37" s="9" t="s">
        <v>50</v>
      </c>
      <c r="H37" s="24" t="s">
        <v>50</v>
      </c>
      <c r="I37" s="9" t="s">
        <v>54</v>
      </c>
      <c r="J37" s="25" t="str">
        <f aca="false">IF(H37="","",IF(H37="Incorrect",IF(G37="Incorrect","TP","FN"),IF(G37="Incorrect","FP","TN")))</f>
        <v>TP</v>
      </c>
      <c r="K37" s="26" t="n">
        <f aca="false">IF(H37="","",IF(G37=H37,1,0))</f>
        <v>1</v>
      </c>
      <c r="L37" s="26"/>
    </row>
    <row r="38" customFormat="false" ht="15" hidden="false" customHeight="false" outlineLevel="0" collapsed="false">
      <c r="A38" s="9" t="s">
        <v>48</v>
      </c>
      <c r="B38" s="9" t="s">
        <v>36</v>
      </c>
      <c r="C38" s="9" t="s">
        <v>22</v>
      </c>
      <c r="D38" s="9" t="n">
        <v>10</v>
      </c>
      <c r="E38" s="23" t="n">
        <v>42.8</v>
      </c>
      <c r="F38" s="23"/>
      <c r="G38" s="9" t="s">
        <v>50</v>
      </c>
      <c r="H38" s="24" t="s">
        <v>50</v>
      </c>
      <c r="I38" s="9" t="s">
        <v>54</v>
      </c>
      <c r="J38" s="25" t="str">
        <f aca="false">IF(H38="","",IF(H38="Incorrect",IF(G38="Incorrect","TP","FN"),IF(G38="Incorrect","FP","TN")))</f>
        <v>TP</v>
      </c>
      <c r="K38" s="26" t="n">
        <f aca="false">IF(H38="","",IF(G38=H38,1,0))</f>
        <v>1</v>
      </c>
      <c r="L38" s="26"/>
    </row>
    <row r="39" customFormat="false" ht="15" hidden="false" customHeight="false" outlineLevel="0" collapsed="false">
      <c r="A39" s="9" t="s">
        <v>48</v>
      </c>
      <c r="B39" s="9" t="s">
        <v>37</v>
      </c>
      <c r="C39" s="9" t="s">
        <v>22</v>
      </c>
      <c r="D39" s="9" t="n">
        <v>1</v>
      </c>
      <c r="E39" s="23" t="n">
        <v>76.1</v>
      </c>
      <c r="F39" s="23"/>
      <c r="G39" s="9" t="s">
        <v>50</v>
      </c>
      <c r="H39" s="24" t="s">
        <v>49</v>
      </c>
      <c r="I39" s="9"/>
      <c r="J39" s="25" t="str">
        <f aca="false">IF(H39="","",IF(H39="Incorrect",IF(G39="Incorrect","TP","FN"),IF(G39="Incorrect","FP","TN")))</f>
        <v>FP</v>
      </c>
      <c r="K39" s="26" t="n">
        <f aca="false">IF(H39="","",IF(G39=H39,1,0))</f>
        <v>0</v>
      </c>
      <c r="L39" s="26"/>
    </row>
    <row r="40" customFormat="false" ht="15" hidden="false" customHeight="false" outlineLevel="0" collapsed="false">
      <c r="A40" s="9" t="s">
        <v>48</v>
      </c>
      <c r="B40" s="9" t="s">
        <v>37</v>
      </c>
      <c r="C40" s="9" t="s">
        <v>22</v>
      </c>
      <c r="D40" s="9" t="n">
        <v>2</v>
      </c>
      <c r="E40" s="23" t="n">
        <v>99.8</v>
      </c>
      <c r="F40" s="23"/>
      <c r="G40" s="9" t="s">
        <v>49</v>
      </c>
      <c r="H40" s="24" t="s">
        <v>49</v>
      </c>
      <c r="I40" s="9"/>
      <c r="J40" s="25" t="str">
        <f aca="false">IF(H40="","",IF(H40="Incorrect",IF(G40="Incorrect","TP","FN"),IF(G40="Incorrect","FP","TN")))</f>
        <v>TN</v>
      </c>
      <c r="K40" s="26" t="n">
        <f aca="false">IF(H40="","",IF(G40=H40,1,0))</f>
        <v>1</v>
      </c>
      <c r="L40" s="26"/>
    </row>
    <row r="41" customFormat="false" ht="15" hidden="false" customHeight="false" outlineLevel="0" collapsed="false">
      <c r="A41" s="9" t="s">
        <v>48</v>
      </c>
      <c r="B41" s="9" t="s">
        <v>37</v>
      </c>
      <c r="C41" s="9" t="s">
        <v>22</v>
      </c>
      <c r="D41" s="9" t="n">
        <v>3</v>
      </c>
      <c r="E41" s="23" t="n">
        <v>94.8</v>
      </c>
      <c r="F41" s="23"/>
      <c r="G41" s="9" t="s">
        <v>49</v>
      </c>
      <c r="H41" s="24" t="s">
        <v>49</v>
      </c>
      <c r="I41" s="9"/>
      <c r="J41" s="25" t="str">
        <f aca="false">IF(H41="","",IF(H41="Incorrect",IF(G41="Incorrect","TP","FN"),IF(G41="Incorrect","FP","TN")))</f>
        <v>TN</v>
      </c>
      <c r="K41" s="26" t="n">
        <f aca="false">IF(H41="","",IF(G41=H41,1,0))</f>
        <v>1</v>
      </c>
      <c r="L41" s="26"/>
    </row>
    <row r="42" customFormat="false" ht="15" hidden="false" customHeight="false" outlineLevel="0" collapsed="false">
      <c r="A42" s="9" t="s">
        <v>48</v>
      </c>
      <c r="B42" s="9" t="s">
        <v>37</v>
      </c>
      <c r="C42" s="9" t="s">
        <v>22</v>
      </c>
      <c r="D42" s="9" t="n">
        <v>4</v>
      </c>
      <c r="E42" s="23" t="n">
        <v>83.8</v>
      </c>
      <c r="F42" s="23"/>
      <c r="G42" s="9" t="s">
        <v>49</v>
      </c>
      <c r="H42" s="24" t="s">
        <v>49</v>
      </c>
      <c r="I42" s="9"/>
      <c r="J42" s="25" t="str">
        <f aca="false">IF(H42="","",IF(H42="Incorrect",IF(G42="Incorrect","TP","FN"),IF(G42="Incorrect","FP","TN")))</f>
        <v>TN</v>
      </c>
      <c r="K42" s="26" t="n">
        <f aca="false">IF(H42="","",IF(G42=H42,1,0))</f>
        <v>1</v>
      </c>
      <c r="L42" s="26"/>
    </row>
    <row r="43" customFormat="false" ht="15" hidden="false" customHeight="false" outlineLevel="0" collapsed="false">
      <c r="A43" s="9" t="s">
        <v>48</v>
      </c>
      <c r="B43" s="9" t="s">
        <v>37</v>
      </c>
      <c r="C43" s="9" t="s">
        <v>22</v>
      </c>
      <c r="D43" s="9" t="n">
        <v>5</v>
      </c>
      <c r="E43" s="23" t="n">
        <v>75.3</v>
      </c>
      <c r="F43" s="23"/>
      <c r="G43" s="9" t="s">
        <v>50</v>
      </c>
      <c r="H43" s="24" t="s">
        <v>49</v>
      </c>
      <c r="I43" s="9"/>
      <c r="J43" s="25" t="str">
        <f aca="false">IF(H43="","",IF(H43="Incorrect",IF(G43="Incorrect","TP","FN"),IF(G43="Incorrect","FP","TN")))</f>
        <v>FP</v>
      </c>
      <c r="K43" s="26" t="n">
        <f aca="false">IF(H43="","",IF(G43=H43,1,0))</f>
        <v>0</v>
      </c>
      <c r="L43" s="26"/>
    </row>
    <row r="44" customFormat="false" ht="15" hidden="false" customHeight="false" outlineLevel="0" collapsed="false">
      <c r="A44" s="9" t="s">
        <v>48</v>
      </c>
      <c r="B44" s="9" t="s">
        <v>37</v>
      </c>
      <c r="C44" s="9" t="s">
        <v>22</v>
      </c>
      <c r="D44" s="9" t="n">
        <v>6</v>
      </c>
      <c r="E44" s="23" t="n">
        <v>50.1</v>
      </c>
      <c r="F44" s="23"/>
      <c r="G44" s="9" t="s">
        <v>50</v>
      </c>
      <c r="H44" s="24" t="s">
        <v>50</v>
      </c>
      <c r="I44" s="9" t="s">
        <v>54</v>
      </c>
      <c r="J44" s="25" t="str">
        <f aca="false">IF(H44="","",IF(H44="Incorrect",IF(G44="Incorrect","TP","FN"),IF(G44="Incorrect","FP","TN")))</f>
        <v>TP</v>
      </c>
      <c r="K44" s="26" t="n">
        <f aca="false">IF(H44="","",IF(G44=H44,1,0))</f>
        <v>1</v>
      </c>
      <c r="L44" s="26"/>
    </row>
    <row r="45" customFormat="false" ht="15" hidden="false" customHeight="false" outlineLevel="0" collapsed="false">
      <c r="A45" s="9" t="s">
        <v>48</v>
      </c>
      <c r="B45" s="9" t="s">
        <v>37</v>
      </c>
      <c r="C45" s="9" t="s">
        <v>22</v>
      </c>
      <c r="D45" s="9" t="n">
        <v>7</v>
      </c>
      <c r="E45" s="23" t="n">
        <v>50.9</v>
      </c>
      <c r="F45" s="23"/>
      <c r="G45" s="9" t="s">
        <v>50</v>
      </c>
      <c r="H45" s="24" t="s">
        <v>50</v>
      </c>
      <c r="I45" s="9" t="s">
        <v>54</v>
      </c>
      <c r="J45" s="25" t="str">
        <f aca="false">IF(H45="","",IF(H45="Incorrect",IF(G45="Incorrect","TP","FN"),IF(G45="Incorrect","FP","TN")))</f>
        <v>TP</v>
      </c>
      <c r="K45" s="26" t="n">
        <f aca="false">IF(H45="","",IF(G45=H45,1,0))</f>
        <v>1</v>
      </c>
      <c r="L45" s="26"/>
    </row>
    <row r="46" customFormat="false" ht="15" hidden="false" customHeight="false" outlineLevel="0" collapsed="false">
      <c r="A46" s="9" t="s">
        <v>48</v>
      </c>
      <c r="B46" s="9" t="s">
        <v>37</v>
      </c>
      <c r="C46" s="9" t="s">
        <v>22</v>
      </c>
      <c r="D46" s="9" t="n">
        <v>8</v>
      </c>
      <c r="E46" s="23" t="n">
        <v>54.6</v>
      </c>
      <c r="F46" s="23"/>
      <c r="G46" s="9" t="s">
        <v>50</v>
      </c>
      <c r="H46" s="24" t="s">
        <v>50</v>
      </c>
      <c r="I46" s="9" t="s">
        <v>54</v>
      </c>
      <c r="J46" s="25" t="str">
        <f aca="false">IF(H46="","",IF(H46="Incorrect",IF(G46="Incorrect","TP","FN"),IF(G46="Incorrect","FP","TN")))</f>
        <v>TP</v>
      </c>
      <c r="K46" s="26" t="n">
        <f aca="false">IF(H46="","",IF(G46=H46,1,0))</f>
        <v>1</v>
      </c>
      <c r="L46" s="26"/>
    </row>
    <row r="47" customFormat="false" ht="15" hidden="false" customHeight="false" outlineLevel="0" collapsed="false">
      <c r="A47" s="9" t="s">
        <v>48</v>
      </c>
      <c r="B47" s="9" t="s">
        <v>37</v>
      </c>
      <c r="C47" s="9" t="s">
        <v>22</v>
      </c>
      <c r="D47" s="9" t="n">
        <v>9</v>
      </c>
      <c r="E47" s="23" t="n">
        <v>94.8</v>
      </c>
      <c r="F47" s="23"/>
      <c r="G47" s="9" t="s">
        <v>49</v>
      </c>
      <c r="H47" s="24" t="s">
        <v>50</v>
      </c>
      <c r="I47" s="9" t="s">
        <v>54</v>
      </c>
      <c r="J47" s="25" t="str">
        <f aca="false">IF(H47="","",IF(H47="Incorrect",IF(G47="Incorrect","TP","FN"),IF(G47="Incorrect","FP","TN")))</f>
        <v>FN</v>
      </c>
      <c r="K47" s="26" t="n">
        <f aca="false">IF(H47="","",IF(G47=H47,1,0))</f>
        <v>0</v>
      </c>
      <c r="L47" s="26"/>
    </row>
    <row r="48" customFormat="false" ht="15" hidden="false" customHeight="false" outlineLevel="0" collapsed="false">
      <c r="A48" s="9" t="s">
        <v>48</v>
      </c>
      <c r="B48" s="9" t="s">
        <v>37</v>
      </c>
      <c r="C48" s="9" t="s">
        <v>22</v>
      </c>
      <c r="D48" s="9" t="n">
        <v>10</v>
      </c>
      <c r="E48" s="23" t="n">
        <v>51.2</v>
      </c>
      <c r="F48" s="23"/>
      <c r="G48" s="9" t="s">
        <v>50</v>
      </c>
      <c r="H48" s="24" t="s">
        <v>50</v>
      </c>
      <c r="I48" s="9" t="s">
        <v>54</v>
      </c>
      <c r="J48" s="25" t="str">
        <f aca="false">IF(H48="","",IF(H48="Incorrect",IF(G48="Incorrect","TP","FN"),IF(G48="Incorrect","FP","TN")))</f>
        <v>TP</v>
      </c>
      <c r="K48" s="26" t="n">
        <f aca="false">IF(H48="","",IF(G48=H48,1,0))</f>
        <v>1</v>
      </c>
      <c r="L48" s="26"/>
    </row>
  </sheetData>
  <autoFilter ref="A1:L248"/>
  <conditionalFormatting sqref="J2:J248">
    <cfRule type="expression" priority="2" aboveAverage="0" equalAverage="0" bottom="0" percent="0" rank="0" text="" dxfId="1">
      <formula>OR(J2="FP",J2="FN")</formula>
    </cfRule>
  </conditionalFormatting>
  <dataValidations count="1">
    <dataValidation allowBlank="true" errorStyle="stop" operator="between" showDropDown="false" showErrorMessage="false" showInputMessage="false" sqref="G2:H248" type="list">
      <formula1>"Correct,Incorrect"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56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21" t="s">
        <v>57</v>
      </c>
      <c r="B3" s="21" t="s">
        <v>58</v>
      </c>
      <c r="C3" s="21" t="s">
        <v>59</v>
      </c>
    </row>
    <row r="4" customFormat="false" ht="52.2" hidden="false" customHeight="false" outlineLevel="0" collapsed="false">
      <c r="A4" s="28" t="s">
        <v>60</v>
      </c>
      <c r="B4" s="29" t="s">
        <v>61</v>
      </c>
      <c r="C4" s="30" t="s">
        <v>62</v>
      </c>
    </row>
    <row r="5" customFormat="false" ht="15" hidden="false" customHeight="false" outlineLevel="0" collapsed="false">
      <c r="A5" s="31" t="s">
        <v>63</v>
      </c>
      <c r="B5" s="29" t="s">
        <v>64</v>
      </c>
      <c r="C5" s="30" t="s">
        <v>65</v>
      </c>
    </row>
    <row r="6" customFormat="false" ht="39.55" hidden="false" customHeight="false" outlineLevel="0" collapsed="false">
      <c r="A6" s="31" t="s">
        <v>63</v>
      </c>
      <c r="B6" s="29" t="s">
        <v>66</v>
      </c>
      <c r="C6" s="30" t="s">
        <v>67</v>
      </c>
    </row>
    <row r="7" customFormat="false" ht="26.85" hidden="false" customHeight="false" outlineLevel="0" collapsed="false">
      <c r="A7" s="32" t="s">
        <v>68</v>
      </c>
      <c r="B7" s="29" t="s">
        <v>69</v>
      </c>
      <c r="C7" s="30" t="s">
        <v>70</v>
      </c>
    </row>
    <row r="8" customFormat="false" ht="26.85" hidden="false" customHeight="false" outlineLevel="0" collapsed="false">
      <c r="A8" s="32" t="s">
        <v>68</v>
      </c>
      <c r="B8" s="29" t="s">
        <v>71</v>
      </c>
      <c r="C8" s="30" t="s">
        <v>72</v>
      </c>
    </row>
    <row r="9" customFormat="false" ht="15" hidden="false" customHeight="false" outlineLevel="0" collapsed="false">
      <c r="A9" s="33" t="s">
        <v>73</v>
      </c>
      <c r="B9" s="29" t="s">
        <v>74</v>
      </c>
      <c r="C9" s="30" t="s">
        <v>75</v>
      </c>
    </row>
    <row r="10" customFormat="false" ht="26.85" hidden="false" customHeight="false" outlineLevel="0" collapsed="false">
      <c r="A10" s="33" t="s">
        <v>73</v>
      </c>
      <c r="B10" s="29" t="s">
        <v>76</v>
      </c>
      <c r="C10" s="30" t="s">
        <v>77</v>
      </c>
    </row>
    <row r="11" customFormat="false" ht="26.85" hidden="false" customHeight="false" outlineLevel="0" collapsed="false">
      <c r="A11" s="34" t="s">
        <v>78</v>
      </c>
      <c r="B11" s="29" t="s">
        <v>79</v>
      </c>
      <c r="C11" s="30" t="s">
        <v>80</v>
      </c>
    </row>
    <row r="12" customFormat="false" ht="26.85" hidden="false" customHeight="false" outlineLevel="0" collapsed="false">
      <c r="A12" s="34" t="s">
        <v>78</v>
      </c>
      <c r="B12" s="29" t="s">
        <v>81</v>
      </c>
      <c r="C12" s="30" t="s">
        <v>82</v>
      </c>
    </row>
    <row r="13" customFormat="false" ht="26.85" hidden="false" customHeight="false" outlineLevel="0" collapsed="false">
      <c r="A13" s="34" t="s">
        <v>78</v>
      </c>
      <c r="B13" s="29" t="s">
        <v>83</v>
      </c>
      <c r="C13" s="30" t="s">
        <v>84</v>
      </c>
    </row>
    <row r="14" customFormat="false" ht="15" hidden="false" customHeight="false" outlineLevel="0" collapsed="false">
      <c r="A14" s="34" t="s">
        <v>78</v>
      </c>
      <c r="B14" s="29" t="s">
        <v>85</v>
      </c>
      <c r="C14" s="30" t="s">
        <v>86</v>
      </c>
    </row>
    <row r="15" customFormat="false" ht="15" hidden="false" customHeight="false" outlineLevel="0" collapsed="false">
      <c r="A15" s="2"/>
      <c r="B15" s="2"/>
      <c r="C15" s="2"/>
    </row>
    <row r="16" customFormat="false" ht="15" hidden="false" customHeight="false" outlineLevel="0" collapsed="false">
      <c r="A16" s="4" t="s">
        <v>87</v>
      </c>
      <c r="B16" s="2"/>
      <c r="C16" s="2"/>
    </row>
    <row r="17" customFormat="false" ht="15" hidden="false" customHeight="false" outlineLevel="0" collapsed="false">
      <c r="A17" s="6" t="s">
        <v>88</v>
      </c>
      <c r="B17" s="2" t="s">
        <v>89</v>
      </c>
      <c r="C17" s="2"/>
    </row>
    <row r="18" customFormat="false" ht="15" hidden="false" customHeight="false" outlineLevel="0" collapsed="false">
      <c r="A18" s="35" t="s">
        <v>90</v>
      </c>
      <c r="B18" s="2" t="s">
        <v>91</v>
      </c>
      <c r="C18" s="2"/>
    </row>
    <row r="19" customFormat="false" ht="15" hidden="false" customHeight="false" outlineLevel="0" collapsed="false">
      <c r="A19" s="2" t="s">
        <v>92</v>
      </c>
      <c r="B19" s="2" t="s">
        <v>93</v>
      </c>
      <c r="C1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2026-10-07T13:31:32Z</dcterms:created>
  <dc:creator>openpyxl</dc:creator>
  <dc:description/>
  <dc:language>en-US</dc:language>
  <cp:lastModifiedBy/>
  <dcterms:modified xsi:type="dcterms:W3CDTF">2026-10-07T13:31:32Z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